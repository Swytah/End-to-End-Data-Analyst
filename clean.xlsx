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hidePivotFieldList="1" defaultThemeVersion="124226"/>
  <mc:AlternateContent xmlns:mc="http://schemas.openxmlformats.org/markup-compatibility/2006">
    <mc:Choice Requires="x15">
      <x15ac:absPath xmlns:x15ac="http://schemas.microsoft.com/office/spreadsheetml/2010/11/ac" url="C:\Users\sweta\Downloads\"/>
    </mc:Choice>
  </mc:AlternateContent>
  <xr:revisionPtr revIDLastSave="0" documentId="13_ncr:1_{DE42B07F-103F-400E-A7A0-4E8D948FC109}" xr6:coauthVersionLast="47" xr6:coauthVersionMax="47" xr10:uidLastSave="{00000000-0000-0000-0000-000000000000}"/>
  <bookViews>
    <workbookView xWindow="-108" yWindow="-108" windowWidth="23256" windowHeight="13896" firstSheet="1" activeTab="2" xr2:uid="{00000000-000D-0000-FFFF-FFFF00000000}"/>
  </bookViews>
  <sheets>
    <sheet name="Uncleaned_Data" sheetId="1" r:id="rId1"/>
    <sheet name="Sales_by_region" sheetId="3" r:id="rId2"/>
    <sheet name="Dashboard" sheetId="8" r:id="rId3"/>
    <sheet name="Sales_by_product" sheetId="4" r:id="rId4"/>
    <sheet name="Monthly_sales" sheetId="5" r:id="rId5"/>
    <sheet name="Profit_by_region" sheetId="6" r:id="rId6"/>
    <sheet name="Profit_by_year" sheetId="7" r:id="rId7"/>
    <sheet name="Clean_Data" sheetId="2" r:id="rId8"/>
  </sheets>
  <definedNames>
    <definedName name="_xlnm._FilterDatabase" localSheetId="7" hidden="1">Clean_Data!$A$1:$G$483</definedName>
    <definedName name="Slicer_Month">#N/A</definedName>
    <definedName name="Slicer_Product">#N/A</definedName>
    <definedName name="Slicer_Region">#N/A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2" i="2"/>
</calcChain>
</file>

<file path=xl/sharedStrings.xml><?xml version="1.0" encoding="utf-8"?>
<sst xmlns="http://schemas.openxmlformats.org/spreadsheetml/2006/main" count="3065" uniqueCount="47">
  <si>
    <t>Order_ID</t>
  </si>
  <si>
    <t>Order_Date</t>
  </si>
  <si>
    <t>Customer</t>
  </si>
  <si>
    <t>Region</t>
  </si>
  <si>
    <t>Product</t>
  </si>
  <si>
    <t>Sales</t>
  </si>
  <si>
    <t>Cost</t>
  </si>
  <si>
    <t>Rohit</t>
  </si>
  <si>
    <t>Aman</t>
  </si>
  <si>
    <t>Rahul</t>
  </si>
  <si>
    <t>Anjali</t>
  </si>
  <si>
    <t>Suresh</t>
  </si>
  <si>
    <t>Priya</t>
  </si>
  <si>
    <t>Kiran</t>
  </si>
  <si>
    <t>Pooja</t>
  </si>
  <si>
    <t>Neha</t>
  </si>
  <si>
    <t>Vikas</t>
  </si>
  <si>
    <t>South</t>
  </si>
  <si>
    <t>West</t>
  </si>
  <si>
    <t>North</t>
  </si>
  <si>
    <t>East</t>
  </si>
  <si>
    <t>Mobile</t>
  </si>
  <si>
    <t>Laptop</t>
  </si>
  <si>
    <t>Monitor</t>
  </si>
  <si>
    <t>Printer</t>
  </si>
  <si>
    <t>Tablet</t>
  </si>
  <si>
    <t>Profit</t>
  </si>
  <si>
    <t>Year</t>
  </si>
  <si>
    <t>Month</t>
  </si>
  <si>
    <t>Sum of Sales</t>
  </si>
  <si>
    <t>Row Labels</t>
  </si>
  <si>
    <t>Grand Total</t>
  </si>
  <si>
    <t>01</t>
  </si>
  <si>
    <t>02</t>
  </si>
  <si>
    <t>03</t>
  </si>
  <si>
    <t>04</t>
  </si>
  <si>
    <t>05</t>
  </si>
  <si>
    <t>06</t>
  </si>
  <si>
    <t>07</t>
  </si>
  <si>
    <t>08</t>
  </si>
  <si>
    <t>09</t>
  </si>
  <si>
    <t>10</t>
  </si>
  <si>
    <t>11</t>
  </si>
  <si>
    <t>12</t>
  </si>
  <si>
    <t>Sum of Profit</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</si>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</sst>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1" xfId="0" applyBorder="1"/>
    <xf numFmtId="14" fontId="0" fillId="0" borderId="1" xfId="0" applyNumberFormat="1" applyBorder="1"/>
    <xf numFmtId="14" fontId="1" fillId="0" borderId="1" xfId="0" applyNumberFormat="1" applyFont="1" applyBorder="1" applyAlignment="1">
      <alignment horizontal="center" vertical="top"/>
    </xf>
    <xf numFmtId="14" fontId="0" fillId="0" borderId="0" xfId="0" applyNumberFormat="1"/>
    <xf numFmtId="0" fontId="1" fillId="0" borderId="2" xfId="0" applyFont="1" applyFill="1" applyBorder="1" applyAlignment="1">
      <alignment horizontal="center" vertical="top"/>
    </xf>
    <xf numFmtId="0" fontId="1" fillId="0" borderId="3"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cellXfs>
  <cellStyles count="1">
    <cellStyle name="Normal" xfId="0" builtinId="0"/>
  </cellStyles>
  <dxfs count="2">
    <dxf>
      <border outline="0">
        <left style="thin">
          <color auto="1"/>
        </left>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[clean.xlsx]Sales_by_region!Sales_by_Region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Sales_by_region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solidFill>
              <a:schemeClr val="accent6"/>
            </a:solidFill>
            <a:ln>
              <a:noFill/>
            </a:ln>
            <a:effectLst/>
          </c:spPr>
          <c:invertIfNegative val="0"/>
          <c:cat>
            <c:strRef>
              <c:f>Sales_by_region!$A$4:$A$8</c:f>
              <c:strCache>
                <c:ptCount val="4"/>
                <c:pt idx="0">
                  <c:v>East</c:v>
                </c:pt>
                <c:pt idx="1">
                  <c:v>North</c:v>
                </c:pt>
                <c:pt idx="2">
                  <c:v>South</c:v>
                </c:pt>
                <c:pt idx="3">
                  <c:v>West</c:v>
                </c:pt>
              </c:strCache>
            </c:strRef>
          </c:cat>
          <c:val>
            <c:numRef>
              <c:f>Sales_by_region!$B$4:$B$8</c:f>
              <c:numCache>
                <c:formatCode>General</c:formatCode>
                <c:ptCount val="4"/>
                <c:pt idx="0">
                  <c:v>4674994</c:v>
                </c:pt>
                <c:pt idx="1">
                  <c:v>5138427</c:v>
                </c:pt>
                <c:pt idx="2">
                  <c:v>5176309</c:v>
                </c:pt>
                <c:pt idx="3">
                  <c:v>4819905</c:v>
                </c:pt>
              </c:numCache>
            </c:numRef>
          </c:val>
          <c:extLst>
            <c:ext xmlns:c16="http://schemas.microsoft.com/office/drawing/2014/chart" uri="{C3380CC4-5D6E-409C-BE32-E72D297353CC}">
              <c16:uniqueId val="{00000000-38EE-487F-85BB-4CD7EBCB5C81}"/>
            </c:ext>
          </c:extLst>
        </c:ser>
        <c:dLbls>
          <c:showLegendKey val="0"/>
          <c:showVal val="0"/>
          <c:showCatName val="0"/>
          <c:showSerName val="0"/>
          <c:showPercent val="0"/>
          <c:showBubbleSize val="0"/>
        </c:dLbls>
        <c:gapWidth val="219"/>
        <c:overlap val="-27"/>
        <c:axId val="1745476287"/>
        <c:axId val="1745471711"/>
      </c:barChart>
      <c:catAx>
        <c:axId val="174547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471711"/>
        <c:crosses val="autoZero"/>
        <c:auto val="1"/>
        <c:lblAlgn val="ctr"/>
        <c:lblOffset val="100"/>
        <c:noMultiLvlLbl val="0"/>
      </c:catAx>
      <c:valAx>
        <c:axId val="174547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476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[clean.xlsx]Sales_by_region!Sales_by_Region</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Sales_by_region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95610932380631"/>
          <c:y val="0.33025277328138863"/>
          <c:w val="0.78265939105241644"/>
          <c:h val="0.42016653406129112"/>
        </c:manualLayout>
      </c:layout>
      <c:barChart>
        <c:barDir val="col"/>
        <c:grouping val="clustered"/>
        <c:varyColors val="0"/>
        <c:ser>
          <c:idx val="0"/>
          <c:order val="0"/>
          <c:tx>
            <c:strRef>
              <c:f>Sales_by_region!$B$3</c:f>
              <c:strCache>
                <c:ptCount val="1"/>
                <c:pt idx="0">
                  <c:v>Total</c:v>
                </c:pt>
              </c:strCache>
            </c:strRef>
          </c:tx>
          <c:spPr>
            <a:solidFill>
              <a:schemeClr val="accent6"/>
            </a:solidFill>
            <a:ln>
              <a:noFill/>
            </a:ln>
            <a:effectLst/>
          </c:spPr>
          <c:invertIfNegative val="0"/>
          <c:cat>
            <c:strRef>
              <c:f>Sales_by_region!$A$4:$A$8</c:f>
              <c:strCache>
                <c:ptCount val="4"/>
                <c:pt idx="0">
                  <c:v>East</c:v>
                </c:pt>
                <c:pt idx="1">
                  <c:v>North</c:v>
                </c:pt>
                <c:pt idx="2">
                  <c:v>South</c:v>
                </c:pt>
                <c:pt idx="3">
                  <c:v>West</c:v>
                </c:pt>
              </c:strCache>
            </c:strRef>
          </c:cat>
          <c:val>
            <c:numRef>
              <c:f>Sales_by_region!$B$4:$B$8</c:f>
              <c:numCache>
                <c:formatCode>General</c:formatCode>
                <c:ptCount val="4"/>
                <c:pt idx="0">
                  <c:v>4674994</c:v>
                </c:pt>
                <c:pt idx="1">
                  <c:v>5138427</c:v>
                </c:pt>
                <c:pt idx="2">
                  <c:v>5176309</c:v>
                </c:pt>
                <c:pt idx="3">
                  <c:v>4819905</c:v>
                </c:pt>
              </c:numCache>
            </c:numRef>
          </c:val>
          <c:extLst>
            <c:ext xmlns:c16="http://schemas.microsoft.com/office/drawing/2014/chart" uri="{C3380CC4-5D6E-409C-BE32-E72D297353CC}">
              <c16:uniqueId val="{00000000-D741-497C-988A-1082027546D6}"/>
            </c:ext>
          </c:extLst>
        </c:ser>
        <c:dLbls>
          <c:showLegendKey val="0"/>
          <c:showVal val="0"/>
          <c:showCatName val="0"/>
          <c:showSerName val="0"/>
          <c:showPercent val="0"/>
          <c:showBubbleSize val="0"/>
        </c:dLbls>
        <c:gapWidth val="219"/>
        <c:overlap val="-27"/>
        <c:axId val="1745476287"/>
        <c:axId val="1745471711"/>
      </c:barChart>
      <c:catAx>
        <c:axId val="174547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471711"/>
        <c:crosses val="autoZero"/>
        <c:auto val="1"/>
        <c:lblAlgn val="ctr"/>
        <c:lblOffset val="100"/>
        <c:noMultiLvlLbl val="0"/>
      </c:catAx>
      <c:valAx>
        <c:axId val="1745471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4762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[clean.xlsx]Sales_by_product!Sales_by_Product</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Sales_by_Product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Sales_by_product!$B$3</c:f>
              <c:strCache>
                <c:ptCount val="1"/>
                <c:pt idx="0">
                  <c:v>Total</c:v>
                </c:pt>
              </c:strCache>
            </c:strRef>
          </c:tx>
          <c:spPr>
            <a:solidFill>
              <a:schemeClr val="accent6"/>
            </a:solidFill>
            <a:ln>
              <a:noFill/>
            </a:ln>
            <a:effectLst/>
          </c:spPr>
          <c:invertIfNegative val="0"/>
          <c:cat>
            <c:strRef>
              <c:f>Sales_by_product!$A$4:$A$9</c:f>
              <c:strCache>
                <c:ptCount val="5"/>
                <c:pt idx="0">
                  <c:v>Laptop</c:v>
                </c:pt>
                <c:pt idx="1">
                  <c:v>Mobile</c:v>
                </c:pt>
                <c:pt idx="2">
                  <c:v>Monitor</c:v>
                </c:pt>
                <c:pt idx="3">
                  <c:v>Printer</c:v>
                </c:pt>
                <c:pt idx="4">
                  <c:v>Tablet</c:v>
                </c:pt>
              </c:strCache>
            </c:strRef>
          </c:cat>
          <c:val>
            <c:numRef>
              <c:f>Sales_by_product!$B$4:$B$9</c:f>
              <c:numCache>
                <c:formatCode>General</c:formatCode>
                <c:ptCount val="5"/>
                <c:pt idx="0">
                  <c:v>3967919</c:v>
                </c:pt>
                <c:pt idx="1">
                  <c:v>3544151</c:v>
                </c:pt>
                <c:pt idx="2">
                  <c:v>3744366</c:v>
                </c:pt>
                <c:pt idx="3">
                  <c:v>4562567</c:v>
                </c:pt>
                <c:pt idx="4">
                  <c:v>3990632</c:v>
                </c:pt>
              </c:numCache>
            </c:numRef>
          </c:val>
          <c:extLst>
            <c:ext xmlns:c16="http://schemas.microsoft.com/office/drawing/2014/chart" uri="{C3380CC4-5D6E-409C-BE32-E72D297353CC}">
              <c16:uniqueId val="{00000000-2A39-4132-92F0-3537869EBC5B}"/>
            </c:ext>
          </c:extLst>
        </c:ser>
        <c:dLbls>
          <c:showLegendKey val="0"/>
          <c:showVal val="0"/>
          <c:showCatName val="0"/>
          <c:showSerName val="0"/>
          <c:showPercent val="0"/>
          <c:showBubbleSize val="0"/>
        </c:dLbls>
        <c:gapWidth val="219"/>
        <c:overlap val="-27"/>
        <c:axId val="1745483359"/>
        <c:axId val="1745468383"/>
      </c:barChart>
      <c:catAx>
        <c:axId val="174548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45468383"/>
        <c:crosses val="autoZero"/>
        <c:auto val="1"/>
        <c:lblAlgn val="ctr"/>
        <c:lblOffset val="100"/>
        <c:noMultiLvlLbl val="0"/>
      </c:catAx>
      <c:valAx>
        <c:axId val="1745468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4548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[clean.xlsx]Monthly_sales!Monthly_Sales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Monthly_Sales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Monthly_sales!$B$3</c:f>
              <c:strCache>
                <c:ptCount val="1"/>
                <c:pt idx="0">
                  <c:v>Total</c:v>
                </c:pt>
              </c:strCache>
            </c:strRef>
          </c:tx>
          <c:spPr>
            <a:solidFill>
              <a:schemeClr val="accent6"/>
            </a:solidFill>
            <a:ln>
              <a:noFill/>
            </a:ln>
            <a:effectLst/>
          </c:spPr>
          <c:invertIfNegative val="0"/>
          <c:cat>
            <c:strRef>
              <c:f>Monthly_sales!$A$4:$A$16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Monthly_sales!$B$4:$B$16</c:f>
              <c:numCache>
                <c:formatCode>General</c:formatCode>
                <c:ptCount val="12"/>
                <c:pt idx="0">
                  <c:v>2385640</c:v>
                </c:pt>
                <c:pt idx="1">
                  <c:v>2522411</c:v>
                </c:pt>
                <c:pt idx="2">
                  <c:v>2853678</c:v>
                </c:pt>
                <c:pt idx="3">
                  <c:v>997697</c:v>
                </c:pt>
                <c:pt idx="4">
                  <c:v>1522860</c:v>
                </c:pt>
                <c:pt idx="5">
                  <c:v>1216763</c:v>
                </c:pt>
                <c:pt idx="6">
                  <c:v>1652929</c:v>
                </c:pt>
                <c:pt idx="7">
                  <c:v>1702809</c:v>
                </c:pt>
                <c:pt idx="8">
                  <c:v>1089882</c:v>
                </c:pt>
                <c:pt idx="9">
                  <c:v>1386626</c:v>
                </c:pt>
                <c:pt idx="10">
                  <c:v>1109145</c:v>
                </c:pt>
                <c:pt idx="11">
                  <c:v>1369195</c:v>
                </c:pt>
              </c:numCache>
            </c:numRef>
          </c:val>
          <c:extLst>
            <c:ext xmlns:c16="http://schemas.microsoft.com/office/drawing/2014/chart" uri="{C3380CC4-5D6E-409C-BE32-E72D297353CC}">
              <c16:uniqueId val="{00000000-E778-43AD-840E-597E76169CCD}"/>
            </c:ext>
          </c:extLst>
        </c:ser>
        <c:dLbls>
          <c:showLegendKey val="0"/>
          <c:showVal val="0"/>
          <c:showCatName val="0"/>
          <c:showSerName val="0"/>
          <c:showPercent val="0"/>
          <c:showBubbleSize val="0"/>
        </c:dLbls>
        <c:gapWidth val="182"/>
        <c:axId val="1745476703"/>
        <c:axId val="1745473791"/>
      </c:barChart>
      <c:catAx>
        <c:axId val="174547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473791"/>
        <c:crosses val="autoZero"/>
        <c:auto val="1"/>
        <c:lblAlgn val="ctr"/>
        <c:lblOffset val="100"/>
        <c:noMultiLvlLbl val="0"/>
      </c:catAx>
      <c:valAx>
        <c:axId val="174547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476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[clean.xlsx]Profit_by_region!Profit_by_Region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Profit_by_region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Profit_by_region!$B$3</c:f>
              <c:strCache>
                <c:ptCount val="1"/>
                <c:pt idx="0">
                  <c:v>Total</c:v>
                </c:pt>
              </c:strCache>
            </c:strRef>
          </c:tx>
          <c:spPr>
            <a:ln w="28575" cap="rnd">
              <a:solidFill>
                <a:schemeClr val="accent6"/>
              </a:solidFill>
              <a:round/>
            </a:ln>
            <a:effectLst/>
          </c:spPr>
          <c:marker>
            <c:symbol val="none"/>
          </c:marker>
          <c:cat>
            <c:strRef>
              <c:f>Profit_by_region!$A$4:$A$8</c:f>
              <c:strCache>
                <c:ptCount val="4"/>
                <c:pt idx="0">
                  <c:v>East</c:v>
                </c:pt>
                <c:pt idx="1">
                  <c:v>North</c:v>
                </c:pt>
                <c:pt idx="2">
                  <c:v>South</c:v>
                </c:pt>
                <c:pt idx="3">
                  <c:v>West</c:v>
                </c:pt>
              </c:strCache>
            </c:strRef>
          </c:cat>
          <c:val>
            <c:numRef>
              <c:f>Profit_by_region!$B$4:$B$8</c:f>
              <c:numCache>
                <c:formatCode>General</c:formatCode>
                <c:ptCount val="4"/>
                <c:pt idx="0">
                  <c:v>1213577</c:v>
                </c:pt>
                <c:pt idx="1">
                  <c:v>1351593</c:v>
                </c:pt>
                <c:pt idx="2">
                  <c:v>1240464</c:v>
                </c:pt>
                <c:pt idx="3">
                  <c:v>1186520</c:v>
                </c:pt>
              </c:numCache>
            </c:numRef>
          </c:val>
          <c:smooth val="0"/>
          <c:extLst>
            <c:ext xmlns:c16="http://schemas.microsoft.com/office/drawing/2014/chart" uri="{C3380CC4-5D6E-409C-BE32-E72D297353CC}">
              <c16:uniqueId val="{00000000-2ADC-4CEE-B25C-B3D3A3ECE5A9}"/>
            </c:ext>
          </c:extLst>
        </c:ser>
        <c:dLbls>
          <c:showLegendKey val="0"/>
          <c:showVal val="0"/>
          <c:showCatName val="0"/>
          <c:showSerName val="0"/>
          <c:showPercent val="0"/>
          <c:showBubbleSize val="0"/>
        </c:dLbls>
        <c:smooth val="0"/>
        <c:axId val="1754232991"/>
        <c:axId val="1754233823"/>
      </c:lineChart>
      <c:catAx>
        <c:axId val="175423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233823"/>
        <c:crosses val="autoZero"/>
        <c:auto val="1"/>
        <c:lblAlgn val="ctr"/>
        <c:lblOffset val="100"/>
        <c:noMultiLvlLbl val="0"/>
      </c:catAx>
      <c:valAx>
        <c:axId val="1754233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232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[clean.xlsx]Profit_by_year!Profit_by_year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Profit_by_year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tint val="77000"/>
            </a:schemeClr>
          </a:solidFill>
          <a:ln w="19050">
            <a:solidFill>
              <a:schemeClr val="lt1"/>
            </a:solidFill>
          </a:ln>
          <a:effectLst/>
        </c:spPr>
      </c:pivotFmt>
      <c:pivotFmt>
        <c:idx val="3"/>
        <c:spPr>
          <a:solidFill>
            <a:schemeClr val="accent6">
              <a:shade val="76000"/>
            </a:schemeClr>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tint val="77000"/>
            </a:schemeClr>
          </a:solidFill>
          <a:ln w="19050">
            <a:solidFill>
              <a:schemeClr val="lt1"/>
            </a:solidFill>
          </a:ln>
          <a:effectLst/>
        </c:spPr>
      </c:pivotFmt>
      <c:pivotFmt>
        <c:idx val="6"/>
        <c:spPr>
          <a:solidFill>
            <a:schemeClr val="accent6">
              <a:shade val="76000"/>
            </a:schemeClr>
          </a:solidFill>
          <a:ln w="19050">
            <a:solidFill>
              <a:schemeClr val="lt1"/>
            </a:solidFill>
          </a:ln>
          <a:effectLst/>
        </c:spPr>
      </c:pivotFmt>
    </c:pivotFmts>
    <c:plotArea>
      <c:layout/>
      <c:pieChart>
        <c:varyColors val="1"/>
        <c:ser>
          <c:idx val="0"/>
          <c:order val="0"/>
          <c:tx>
            <c:strRef>
              <c:f>Profit_by_year!$B$3</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1F2B-4378-B29D-A5290B754D3A}"/>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1F2B-4378-B29D-A5290B754D3A}"/>
              </c:ext>
            </c:extLst>
          </c:dPt>
          <c:cat>
            <c:strRef>
              <c:f>Profit_by_year!$A$4:$A$6</c:f>
              <c:strCache>
                <c:ptCount val="2"/>
                <c:pt idx="0">
                  <c:v>2023</c:v>
                </c:pt>
                <c:pt idx="1">
                  <c:v>2024</c:v>
                </c:pt>
              </c:strCache>
            </c:strRef>
          </c:cat>
          <c:val>
            <c:numRef>
              <c:f>Profit_by_year!$B$4:$B$6</c:f>
              <c:numCache>
                <c:formatCode>General</c:formatCode>
                <c:ptCount val="2"/>
                <c:pt idx="0">
                  <c:v>4089112</c:v>
                </c:pt>
                <c:pt idx="1">
                  <c:v>903042</c:v>
                </c:pt>
              </c:numCache>
            </c:numRef>
          </c:val>
          <c:extLst>
            <c:ext xmlns:c16="http://schemas.microsoft.com/office/drawing/2014/chart" uri="{C3380CC4-5D6E-409C-BE32-E72D297353CC}">
              <c16:uniqueId val="{00000004-1F2B-4378-B29D-A5290B754D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[clean.xlsx]Sales_by_product!Sales_by_Product</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Sales_by_Product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Sales_by_product!$B$3</c:f>
              <c:strCache>
                <c:ptCount val="1"/>
                <c:pt idx="0">
                  <c:v>Total</c:v>
                </c:pt>
              </c:strCache>
            </c:strRef>
          </c:tx>
          <c:spPr>
            <a:solidFill>
              <a:schemeClr val="accent6"/>
            </a:solidFill>
            <a:ln>
              <a:noFill/>
            </a:ln>
            <a:effectLst/>
          </c:spPr>
          <c:invertIfNegative val="0"/>
          <c:cat>
            <c:strRef>
              <c:f>Sales_by_product!$A$4:$A$9</c:f>
              <c:strCache>
                <c:ptCount val="5"/>
                <c:pt idx="0">
                  <c:v>Laptop</c:v>
                </c:pt>
                <c:pt idx="1">
                  <c:v>Mobile</c:v>
                </c:pt>
                <c:pt idx="2">
                  <c:v>Monitor</c:v>
                </c:pt>
                <c:pt idx="3">
                  <c:v>Printer</c:v>
                </c:pt>
                <c:pt idx="4">
                  <c:v>Tablet</c:v>
                </c:pt>
              </c:strCache>
            </c:strRef>
          </c:cat>
          <c:val>
            <c:numRef>
              <c:f>Sales_by_product!$B$4:$B$9</c:f>
              <c:numCache>
                <c:formatCode>General</c:formatCode>
                <c:ptCount val="5"/>
                <c:pt idx="0">
                  <c:v>3967919</c:v>
                </c:pt>
                <c:pt idx="1">
                  <c:v>3544151</c:v>
                </c:pt>
                <c:pt idx="2">
                  <c:v>3744366</c:v>
                </c:pt>
                <c:pt idx="3">
                  <c:v>4562567</c:v>
                </c:pt>
                <c:pt idx="4">
                  <c:v>3990632</c:v>
                </c:pt>
              </c:numCache>
            </c:numRef>
          </c:val>
          <c:extLst>
            <c:ext xmlns:c16="http://schemas.microsoft.com/office/drawing/2014/chart" uri="{C3380CC4-5D6E-409C-BE32-E72D297353CC}">
              <c16:uniqueId val="{00000000-6E1B-47D1-BB95-FE8EA2AFEDE1}"/>
            </c:ext>
          </c:extLst>
        </c:ser>
        <c:dLbls>
          <c:showLegendKey val="0"/>
          <c:showVal val="0"/>
          <c:showCatName val="0"/>
          <c:showSerName val="0"/>
          <c:showPercent val="0"/>
          <c:showBubbleSize val="0"/>
        </c:dLbls>
        <c:gapWidth val="219"/>
        <c:overlap val="-27"/>
        <c:axId val="1745483359"/>
        <c:axId val="1745468383"/>
      </c:barChart>
      <c:catAx>
        <c:axId val="174548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45468383"/>
        <c:crosses val="autoZero"/>
        <c:auto val="1"/>
        <c:lblAlgn val="ctr"/>
        <c:lblOffset val="100"/>
        <c:noMultiLvlLbl val="0"/>
      </c:catAx>
      <c:valAx>
        <c:axId val="174546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4548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[clean.xlsx]Monthly_sales!Monthly_Sales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Monthly_Sales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Monthly_sales!$B$3</c:f>
              <c:strCache>
                <c:ptCount val="1"/>
                <c:pt idx="0">
                  <c:v>Total</c:v>
                </c:pt>
              </c:strCache>
            </c:strRef>
          </c:tx>
          <c:spPr>
            <a:solidFill>
              <a:schemeClr val="accent6"/>
            </a:solidFill>
            <a:ln>
              <a:noFill/>
            </a:ln>
            <a:effectLst/>
          </c:spPr>
          <c:invertIfNegative val="0"/>
          <c:cat>
            <c:strRef>
              <c:f>Monthly_sales!$A$4:$A$16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Monthly_sales!$B$4:$B$16</c:f>
              <c:numCache>
                <c:formatCode>General</c:formatCode>
                <c:ptCount val="12"/>
                <c:pt idx="0">
                  <c:v>2385640</c:v>
                </c:pt>
                <c:pt idx="1">
                  <c:v>2522411</c:v>
                </c:pt>
                <c:pt idx="2">
                  <c:v>2853678</c:v>
                </c:pt>
                <c:pt idx="3">
                  <c:v>997697</c:v>
                </c:pt>
                <c:pt idx="4">
                  <c:v>1522860</c:v>
                </c:pt>
                <c:pt idx="5">
                  <c:v>1216763</c:v>
                </c:pt>
                <c:pt idx="6">
                  <c:v>1652929</c:v>
                </c:pt>
                <c:pt idx="7">
                  <c:v>1702809</c:v>
                </c:pt>
                <c:pt idx="8">
                  <c:v>1089882</c:v>
                </c:pt>
                <c:pt idx="9">
                  <c:v>1386626</c:v>
                </c:pt>
                <c:pt idx="10">
                  <c:v>1109145</c:v>
                </c:pt>
                <c:pt idx="11">
                  <c:v>1369195</c:v>
                </c:pt>
              </c:numCache>
            </c:numRef>
          </c:val>
          <c:extLst>
            <c:ext xmlns:c16="http://schemas.microsoft.com/office/drawing/2014/chart" uri="{C3380CC4-5D6E-409C-BE32-E72D297353CC}">
              <c16:uniqueId val="{00000000-AD0B-4D8B-8DCB-41A45F7E43C3}"/>
            </c:ext>
          </c:extLst>
        </c:ser>
        <c:dLbls>
          <c:showLegendKey val="0"/>
          <c:showVal val="0"/>
          <c:showCatName val="0"/>
          <c:showSerName val="0"/>
          <c:showPercent val="0"/>
          <c:showBubbleSize val="0"/>
        </c:dLbls>
        <c:gapWidth val="182"/>
        <c:axId val="1745476703"/>
        <c:axId val="1745473791"/>
      </c:barChart>
      <c:catAx>
        <c:axId val="174547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473791"/>
        <c:crosses val="autoZero"/>
        <c:auto val="1"/>
        <c:lblAlgn val="ctr"/>
        <c:lblOffset val="100"/>
        <c:noMultiLvlLbl val="0"/>
      </c:catAx>
      <c:valAx>
        <c:axId val="174547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476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[clean.xlsx]Profit_by_region!Profit_by_Region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Profit_by_region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Profit_by_region!$B$3</c:f>
              <c:strCache>
                <c:ptCount val="1"/>
                <c:pt idx="0">
                  <c:v>Total</c:v>
                </c:pt>
              </c:strCache>
            </c:strRef>
          </c:tx>
          <c:spPr>
            <a:ln w="28575" cap="rnd">
              <a:solidFill>
                <a:schemeClr val="accent6"/>
              </a:solidFill>
              <a:round/>
            </a:ln>
            <a:effectLst/>
          </c:spPr>
          <c:marker>
            <c:symbol val="none"/>
          </c:marker>
          <c:cat>
            <c:strRef>
              <c:f>Profit_by_region!$A$4:$A$8</c:f>
              <c:strCache>
                <c:ptCount val="4"/>
                <c:pt idx="0">
                  <c:v>East</c:v>
                </c:pt>
                <c:pt idx="1">
                  <c:v>North</c:v>
                </c:pt>
                <c:pt idx="2">
                  <c:v>South</c:v>
                </c:pt>
                <c:pt idx="3">
                  <c:v>West</c:v>
                </c:pt>
              </c:strCache>
            </c:strRef>
          </c:cat>
          <c:val>
            <c:numRef>
              <c:f>Profit_by_region!$B$4:$B$8</c:f>
              <c:numCache>
                <c:formatCode>General</c:formatCode>
                <c:ptCount val="4"/>
                <c:pt idx="0">
                  <c:v>1213577</c:v>
                </c:pt>
                <c:pt idx="1">
                  <c:v>1351593</c:v>
                </c:pt>
                <c:pt idx="2">
                  <c:v>1240464</c:v>
                </c:pt>
                <c:pt idx="3">
                  <c:v>1186520</c:v>
                </c:pt>
              </c:numCache>
            </c:numRef>
          </c:val>
          <c:smooth val="0"/>
          <c:extLst>
            <c:ext xmlns:c16="http://schemas.microsoft.com/office/drawing/2014/chart" uri="{C3380CC4-5D6E-409C-BE32-E72D297353CC}">
              <c16:uniqueId val="{00000000-6EAB-4402-85AF-E6C162784ABB}"/>
            </c:ext>
          </c:extLst>
        </c:ser>
        <c:dLbls>
          <c:showLegendKey val="0"/>
          <c:showVal val="0"/>
          <c:showCatName val="0"/>
          <c:showSerName val="0"/>
          <c:showPercent val="0"/>
          <c:showBubbleSize val="0"/>
        </c:dLbls>
        <c:smooth val="0"/>
        <c:axId val="1754232991"/>
        <c:axId val="1754233823"/>
      </c:lineChart>
      <c:catAx>
        <c:axId val="175423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233823"/>
        <c:crosses val="autoZero"/>
        <c:auto val="1"/>
        <c:lblAlgn val="ctr"/>
        <c:lblOffset val="100"/>
        <c:noMultiLvlLbl val="0"/>
      </c:catAx>
      <c:valAx>
        <c:axId val="175423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232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[clean.xlsx]Profit_by_year!Profit_by_year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Profit_by_year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tint val="77000"/>
            </a:schemeClr>
          </a:solidFill>
          <a:ln w="19050">
            <a:solidFill>
              <a:schemeClr val="lt1"/>
            </a:solidFill>
          </a:ln>
          <a:effectLst/>
        </c:spPr>
      </c:pivotFmt>
      <c:pivotFmt>
        <c:idx val="2"/>
        <c:spPr>
          <a:solidFill>
            <a:schemeClr val="accent6">
              <a:shade val="76000"/>
            </a:schemeClr>
          </a:solidFill>
          <a:ln w="19050">
            <a:solidFill>
              <a:schemeClr val="lt1"/>
            </a:solidFill>
          </a:ln>
          <a:effectLst/>
        </c:spPr>
      </c:pivotFmt>
      <c:pivotFmt>
        <c:idx val="3"/>
        <c:spPr>
          <a:solidFill>
            <a:schemeClr val="accent6">
              <a:tint val="77000"/>
            </a:schemeClr>
          </a:solidFill>
          <a:ln w="19050">
            <a:solidFill>
              <a:schemeClr val="lt1"/>
            </a:solidFill>
          </a:ln>
          <a:effectLst/>
        </c:spPr>
      </c:pivotFmt>
      <c:pivotFmt>
        <c:idx val="4"/>
        <c:spPr>
          <a:solidFill>
            <a:schemeClr val="accent6">
              <a:shade val="76000"/>
            </a:schemeClr>
          </a:solidFill>
          <a:ln w="19050">
            <a:solidFill>
              <a:schemeClr val="lt1"/>
            </a:solidFill>
          </a:ln>
          <a:effectLst/>
        </c:spPr>
      </c:pivotFmt>
    </c:pivotFmts>
    <c:plotArea>
      <c:layout/>
      <c:pieChart>
        <c:varyColors val="1"/>
        <c:ser>
          <c:idx val="0"/>
          <c:order val="0"/>
          <c:tx>
            <c:strRef>
              <c:f>Profit_by_year!$B$3</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98B8-4B17-B556-E6D38AE5EA88}"/>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98B8-4B17-B556-E6D38AE5EA88}"/>
              </c:ext>
            </c:extLst>
          </c:dPt>
          <c:cat>
            <c:strRef>
              <c:f>Profit_by_year!$A$4:$A$6</c:f>
              <c:strCache>
                <c:ptCount val="2"/>
                <c:pt idx="0">
                  <c:v>2023</c:v>
                </c:pt>
                <c:pt idx="1">
                  <c:v>2024</c:v>
                </c:pt>
              </c:strCache>
            </c:strRef>
          </c:cat>
          <c:val>
            <c:numRef>
              <c:f>Profit_by_year!$B$4:$B$6</c:f>
              <c:numCache>
                <c:formatCode>General</c:formatCode>
                <c:ptCount val="2"/>
                <c:pt idx="0">
                  <c:v>4089112</c:v>
                </c:pt>
                <c:pt idx="1">
                  <c:v>903042</c:v>
                </c:pt>
              </c:numCache>
            </c:numRef>
          </c:val>
          <c:extLst>
            <c:ext xmlns:c16="http://schemas.microsoft.com/office/drawing/2014/chart" uri="{C3380CC4-5D6E-409C-BE32-E72D297353CC}">
              <c16:uniqueId val="{00000000-3C8F-4DB6-A16C-1AD43D6249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251460</xdr:colOff>
      <xdr:row>9</xdr:row>
      <xdr:rowOff>49530</xdr:rowOff>
    </xdr:from>
    <xdr:to>
      <xdr:col>11</xdr:col>
      <xdr:colOff>556260</xdr:colOff>
      <xdr:row>24</xdr:row>
      <xdr:rowOff>49530</xdr:rowOff>
    </xdr:to>
    <xdr:graphicFrame macro="">
      <xdr:nvGraphicFramePr>
        <xdr:cNvPr id="2" name="Chart 1">
          <a:extLst>
            <a:ext uri="{FF2B5EF4-FFF2-40B4-BE49-F238E27FC236}">
              <a16:creationId xmlns:a16="http://schemas.microsoft.com/office/drawing/2014/main" id="{16668EFB-CE19-493D-AA4E-4061FF19E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289560</xdr:colOff>
      <xdr:row>3</xdr:row>
      <xdr:rowOff>129540</xdr:rowOff>
    </xdr:from>
    <xdr:to>
      <xdr:col>16</xdr:col>
      <xdr:colOff>289560</xdr:colOff>
      <xdr:row>17</xdr:row>
      <xdr:rowOff>36195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C775F90-C11E-422D-BF37-A21466E6EF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56320" y="678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xdr:rowOff>
    </xdr:from>
    <xdr:to>
      <xdr:col>24</xdr:col>
      <xdr:colOff>0</xdr:colOff>
      <xdr:row>5</xdr:row>
      <xdr:rowOff>38100</xdr:rowOff>
    </xdr:to>
    <xdr:sp macro="" textlink="">
      <xdr:nvSpPr>
        <xdr:cNvPr id="2" name="Rectangle 1">
          <a:extLst>
            <a:ext uri="{FF2B5EF4-FFF2-40B4-BE49-F238E27FC236}">
              <a16:creationId xmlns:a16="http://schemas.microsoft.com/office/drawing/2014/main" id="{E614F256-6C05-4FAB-8141-08542498455C}"/>
            </a:ext>
          </a:extLst>
        </xdr:cNvPr>
        <xdr:cNvSpPr/>
      </xdr:nvSpPr>
      <xdr:spPr>
        <a:xfrm>
          <a:off x="0" y="7620"/>
          <a:ext cx="14630400" cy="944880"/>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solidFill>
                <a:sysClr val="windowText" lastClr="000000"/>
              </a:solidFill>
            </a:rPr>
            <a:t>Business Sales Analytics Dashboard</a:t>
          </a:r>
        </a:p>
      </xdr:txBody>
    </xdr:sp>
    <xdr:clientData/>
  </xdr:twoCellAnchor>
  <xdr:twoCellAnchor>
    <xdr:from>
      <xdr:col>0</xdr:col>
      <xdr:colOff>53340</xdr:colOff>
      <xdr:row>5</xdr:row>
      <xdr:rowOff>91440</xdr:rowOff>
    </xdr:from>
    <xdr:to>
      <xdr:col>7</xdr:col>
      <xdr:colOff>0</xdr:colOff>
      <xdr:row>17</xdr:row>
      <xdr:rowOff>83820</xdr:rowOff>
    </xdr:to>
    <xdr:graphicFrame macro="">
      <xdr:nvGraphicFramePr>
        <xdr:cNvPr id="3" name="Chart 2">
          <a:extLst>
            <a:ext uri="{FF2B5EF4-FFF2-40B4-BE49-F238E27FC236}">
              <a16:creationId xmlns:a16="http://schemas.microsoft.com/office/drawing/2014/main" id="{A0D5E20E-A8A0-45AD-AB0E-68CBB12EA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5</xdr:row>
      <xdr:rowOff>114300</xdr:rowOff>
    </xdr:from>
    <xdr:to>
      <xdr:col>16</xdr:col>
      <xdr:colOff>0</xdr:colOff>
      <xdr:row>17</xdr:row>
      <xdr:rowOff>114300</xdr:rowOff>
    </xdr:to>
    <xdr:graphicFrame macro="">
      <xdr:nvGraphicFramePr>
        <xdr:cNvPr id="4" name="Chart 3">
          <a:extLst>
            <a:ext uri="{FF2B5EF4-FFF2-40B4-BE49-F238E27FC236}">
              <a16:creationId xmlns:a16="http://schemas.microsoft.com/office/drawing/2014/main" id="{EAD0AE50-7BC7-4118-9420-77EAE8FC2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xdr:colOff>
      <xdr:row>18</xdr:row>
      <xdr:rowOff>0</xdr:rowOff>
    </xdr:from>
    <xdr:to>
      <xdr:col>12</xdr:col>
      <xdr:colOff>0</xdr:colOff>
      <xdr:row>33</xdr:row>
      <xdr:rowOff>0</xdr:rowOff>
    </xdr:to>
    <xdr:graphicFrame macro="">
      <xdr:nvGraphicFramePr>
        <xdr:cNvPr id="5" name="Chart 4">
          <a:extLst>
            <a:ext uri="{FF2B5EF4-FFF2-40B4-BE49-F238E27FC236}">
              <a16:creationId xmlns:a16="http://schemas.microsoft.com/office/drawing/2014/main" id="{E00327FC-5D31-4002-B6E1-34C32F20D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18</xdr:row>
      <xdr:rowOff>99060</xdr:rowOff>
    </xdr:from>
    <xdr:to>
      <xdr:col>20</xdr:col>
      <xdr:colOff>388620</xdr:colOff>
      <xdr:row>33</xdr:row>
      <xdr:rowOff>99060</xdr:rowOff>
    </xdr:to>
    <xdr:graphicFrame macro="">
      <xdr:nvGraphicFramePr>
        <xdr:cNvPr id="6" name="Chart 5">
          <a:extLst>
            <a:ext uri="{FF2B5EF4-FFF2-40B4-BE49-F238E27FC236}">
              <a16:creationId xmlns:a16="http://schemas.microsoft.com/office/drawing/2014/main" id="{A5E79355-13B5-4EA7-A78E-50C6A4D0B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182880</xdr:colOff>
      <xdr:row>6</xdr:row>
      <xdr:rowOff>0</xdr:rowOff>
    </xdr:from>
    <xdr:to>
      <xdr:col>20</xdr:col>
      <xdr:colOff>274320</xdr:colOff>
      <xdr:row>18</xdr:row>
      <xdr:rowOff>0</xdr:rowOff>
    </xdr:to>
    <xdr:graphicFrame macro="">
      <xdr:nvGraphicFramePr>
        <xdr:cNvPr id="7" name="Chart 6">
          <a:extLst>
            <a:ext uri="{FF2B5EF4-FFF2-40B4-BE49-F238E27FC236}">
              <a16:creationId xmlns:a16="http://schemas.microsoft.com/office/drawing/2014/main" id="{F29BA221-2E56-42CF-A593-B283880FC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213360</xdr:colOff>
      <xdr:row>5</xdr:row>
      <xdr:rowOff>114300</xdr:rowOff>
    </xdr:from>
    <xdr:to>
      <xdr:col>23</xdr:col>
      <xdr:colOff>0</xdr:colOff>
      <xdr:row>10</xdr:row>
      <xdr:rowOff>91439</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07F66BFA-3697-4C78-B297-1B5E53B5A9B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014960" y="1028700"/>
              <a:ext cx="1005840" cy="891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563880</xdr:colOff>
      <xdr:row>25</xdr:row>
      <xdr:rowOff>15240</xdr:rowOff>
    </xdr:from>
    <xdr:to>
      <xdr:col>23</xdr:col>
      <xdr:colOff>0</xdr:colOff>
      <xdr:row>32</xdr:row>
      <xdr:rowOff>99060</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6F5E13C6-9B0C-4651-874B-A50A92BFB7D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755880" y="4587240"/>
              <a:ext cx="1264920" cy="1363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11</xdr:row>
      <xdr:rowOff>0</xdr:rowOff>
    </xdr:from>
    <xdr:to>
      <xdr:col>23</xdr:col>
      <xdr:colOff>53340</xdr:colOff>
      <xdr:row>24</xdr:row>
      <xdr:rowOff>89535</xdr:rowOff>
    </xdr:to>
    <mc:AlternateContent xmlns:mc="http://schemas.openxmlformats.org/markup-compatibility/2006" xmlns:a14="http://schemas.microsoft.com/office/drawing/2010/main">
      <mc:Choice Requires="a14">
        <xdr:graphicFrame macro="">
          <xdr:nvGraphicFramePr>
            <xdr:cNvPr id="13" name="Month 1">
              <a:extLst>
                <a:ext uri="{FF2B5EF4-FFF2-40B4-BE49-F238E27FC236}">
                  <a16:creationId xmlns:a16="http://schemas.microsoft.com/office/drawing/2014/main" id="{4CDA2096-1034-46D0-8DDE-0698B29AB69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801600" y="2011680"/>
              <a:ext cx="127254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110490</xdr:rowOff>
    </xdr:from>
    <xdr:to>
      <xdr:col>6</xdr:col>
      <xdr:colOff>472440</xdr:colOff>
      <xdr:row>24</xdr:row>
      <xdr:rowOff>110490</xdr:rowOff>
    </xdr:to>
    <xdr:graphicFrame macro="">
      <xdr:nvGraphicFramePr>
        <xdr:cNvPr id="3" name="Chart 2">
          <a:extLst>
            <a:ext uri="{FF2B5EF4-FFF2-40B4-BE49-F238E27FC236}">
              <a16:creationId xmlns:a16="http://schemas.microsoft.com/office/drawing/2014/main" id="{EB284053-A55C-48F2-B036-B7056BA5F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53340</xdr:colOff>
      <xdr:row>2</xdr:row>
      <xdr:rowOff>152400</xdr:rowOff>
    </xdr:from>
    <xdr:to>
      <xdr:col>10</xdr:col>
      <xdr:colOff>53340</xdr:colOff>
      <xdr:row>16</xdr:row>
      <xdr:rowOff>59055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BDBC8603-E33A-41A5-AE2C-C8C7ABE936B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762500" y="518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586740</xdr:colOff>
      <xdr:row>11</xdr:row>
      <xdr:rowOff>11430</xdr:rowOff>
    </xdr:from>
    <xdr:to>
      <xdr:col>15</xdr:col>
      <xdr:colOff>281940</xdr:colOff>
      <xdr:row>26</xdr:row>
      <xdr:rowOff>11430</xdr:rowOff>
    </xdr:to>
    <xdr:graphicFrame macro="">
      <xdr:nvGraphicFramePr>
        <xdr:cNvPr id="2" name="Chart 1">
          <a:extLst>
            <a:ext uri="{FF2B5EF4-FFF2-40B4-BE49-F238E27FC236}">
              <a16:creationId xmlns:a16="http://schemas.microsoft.com/office/drawing/2014/main" id="{9863AB07-AD50-4E04-9B1F-48F50FBDF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342900</xdr:colOff>
      <xdr:row>1</xdr:row>
      <xdr:rowOff>129540</xdr:rowOff>
    </xdr:from>
    <xdr:to>
      <xdr:col>6</xdr:col>
      <xdr:colOff>342900</xdr:colOff>
      <xdr:row>15</xdr:row>
      <xdr:rowOff>36195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3CC33359-EDD3-4125-B013-5F8F9AA89DF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613660" y="312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342900</xdr:colOff>
      <xdr:row>9</xdr:row>
      <xdr:rowOff>49530</xdr:rowOff>
    </xdr:from>
    <xdr:to>
      <xdr:col>12</xdr:col>
      <xdr:colOff>38100</xdr:colOff>
      <xdr:row>24</xdr:row>
      <xdr:rowOff>49530</xdr:rowOff>
    </xdr:to>
    <xdr:graphicFrame macro="">
      <xdr:nvGraphicFramePr>
        <xdr:cNvPr id="2" name="Chart 1">
          <a:extLst>
            <a:ext uri="{FF2B5EF4-FFF2-40B4-BE49-F238E27FC236}">
              <a16:creationId xmlns:a16="http://schemas.microsoft.com/office/drawing/2014/main" id="{A75D5641-BEAE-4417-BF14-D86EAB991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342900</xdr:colOff>
      <xdr:row>9</xdr:row>
      <xdr:rowOff>49530</xdr:rowOff>
    </xdr:from>
    <xdr:to>
      <xdr:col>12</xdr:col>
      <xdr:colOff>38100</xdr:colOff>
      <xdr:row>24</xdr:row>
      <xdr:rowOff>49530</xdr:rowOff>
    </xdr:to>
    <xdr:graphicFrame macro="">
      <xdr:nvGraphicFramePr>
        <xdr:cNvPr id="2" name="Chart 1">
          <a:extLst>
            <a:ext uri="{FF2B5EF4-FFF2-40B4-BE49-F238E27FC236}">
              <a16:creationId xmlns:a16="http://schemas.microsoft.com/office/drawing/2014/main" id="{294C42B9-0420-456A-8B05-215FB0411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xdr:colOff>
      <xdr:row>9</xdr:row>
      <xdr:rowOff>0</xdr:rowOff>
    </xdr:from>
    <xdr:to>
      <xdr:col>3</xdr:col>
      <xdr:colOff>396240</xdr:colOff>
      <xdr:row>22</xdr:row>
      <xdr:rowOff>89535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9B4C8898-8B05-4320-88BA-2068A038154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68680" y="1645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ta" refreshedDate="46034.985075462966" createdVersion="7" refreshedVersion="7" minRefreshableVersion="3" recordCount="482" xr:uid="{E96686A9-6B41-45A0-97B5-8CE5C7B13AE5}">
  <cacheSource type="worksheet">
    <worksheetSource name="Table1"/>
  </cacheSource>
  <cacheFields count="10">
    <cacheField name="Order_ID" numFmtId="0">
      <sharedItems containsSemiMixedTypes="0" containsString="0" containsNumber="1" containsInteger="1" minValue="1001" maxValue="1500"/>
    </cacheField>
    <cacheField name="Order_Date" numFmtId="0">
      <sharedItems containsSemiMixedTypes="0" containsString="0" containsNumber="1" containsInteger="1" minValue="44930" maxValue="45377"/>
    </cacheField>
    <cacheField name="Customer" numFmtId="0">
      <sharedItems/>
    </cacheField>
    <cacheField name="Region" numFmtId="0">
      <sharedItems count="4">
        <s v="South"/>
        <s v="West"/>
        <s v="North"/>
        <s v="East"/>
      </sharedItems>
    </cacheField>
    <cacheField name="Product" numFmtId="0">
      <sharedItems count="5">
        <s v="Mobile"/>
        <s v="Laptop"/>
        <s v="Monitor"/>
        <s v="Printer"/>
        <s v="Tablet"/>
      </sharedItems>
    </cacheField>
    <cacheField name="Sales" numFmtId="0">
      <sharedItems containsSemiMixedTypes="0" containsString="0" containsNumber="1" containsInteger="1" minValue="5205" maxValue="79928"/>
    </cacheField>
    <cacheField name="Cost" numFmtId="0">
      <sharedItems containsSemiMixedTypes="0" containsString="0" containsNumber="1" containsInteger="1" minValue="3272" maxValue="71417"/>
    </cacheField>
    <cacheField name="Profit" numFmtId="0">
      <sharedItems containsSemiMixedTypes="0" containsString="0" containsNumber="1" containsInteger="1" minValue="677" maxValue="30198"/>
    </cacheField>
    <cacheField name="Year" numFmtId="0">
      <sharedItems count="2">
        <s v="2023"/>
        <s v="2024"/>
      </sharedItems>
    </cacheField>
    <cacheField name="Month" numFmtId="0">
      <sharedItems count="12">
        <s v="01"/>
        <s v="10"/>
        <s v="11"/>
        <s v="02"/>
        <s v="08"/>
        <s v="12"/>
        <s v="03"/>
        <s v="09"/>
        <s v="05"/>
        <s v="06"/>
        <s v="07"/>
        <s v="04"/>
      </sharedItems>
    </cacheField>
  </cacheFields>
  <extLst>
    <ext xmlns:x14="http://schemas.microsoft.com/office/spreadsheetml/2009/9/main" uri="{725AE2AE-9491-48be-B2B4-4EB974FC3084}">
      <x14:pivotCacheDefinition pivotCacheId="11909658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2">
  <r>
    <n v="1001"/>
    <n v="44939"/>
    <s v="Rohit"/>
    <x v="0"/>
    <x v="0"/>
    <n v="23289"/>
    <n v="19118"/>
    <n v="4171"/>
    <x v="0"/>
    <x v="0"/>
  </r>
  <r>
    <n v="1002"/>
    <n v="45206"/>
    <s v="Aman"/>
    <x v="1"/>
    <x v="1"/>
    <n v="8905"/>
    <n v="5593"/>
    <n v="3312"/>
    <x v="0"/>
    <x v="1"/>
  </r>
  <r>
    <n v="1003"/>
    <n v="45235"/>
    <s v="Rahul"/>
    <x v="0"/>
    <x v="2"/>
    <n v="59987"/>
    <n v="39959"/>
    <n v="20028"/>
    <x v="0"/>
    <x v="2"/>
  </r>
  <r>
    <n v="1004"/>
    <n v="45341"/>
    <s v="Rahul"/>
    <x v="0"/>
    <x v="3"/>
    <n v="49597"/>
    <n v="33892"/>
    <n v="15705"/>
    <x v="1"/>
    <x v="3"/>
  </r>
  <r>
    <n v="1005"/>
    <n v="45317"/>
    <s v="Anjali"/>
    <x v="2"/>
    <x v="1"/>
    <n v="54797"/>
    <n v="34468"/>
    <n v="20329"/>
    <x v="1"/>
    <x v="0"/>
  </r>
  <r>
    <n v="1006"/>
    <n v="45236"/>
    <s v="Rohit"/>
    <x v="2"/>
    <x v="3"/>
    <n v="75284"/>
    <n v="47989"/>
    <n v="27295"/>
    <x v="0"/>
    <x v="2"/>
  </r>
  <r>
    <n v="1007"/>
    <n v="44967"/>
    <s v="Suresh"/>
    <x v="3"/>
    <x v="2"/>
    <n v="52400"/>
    <n v="40515"/>
    <n v="11885"/>
    <x v="0"/>
    <x v="3"/>
  </r>
  <r>
    <n v="1008"/>
    <n v="44950"/>
    <s v="Priya"/>
    <x v="3"/>
    <x v="1"/>
    <n v="35512"/>
    <n v="30538"/>
    <n v="4974"/>
    <x v="0"/>
    <x v="0"/>
  </r>
  <r>
    <n v="1009"/>
    <n v="45159"/>
    <s v="Anjali"/>
    <x v="0"/>
    <x v="4"/>
    <n v="51566"/>
    <n v="34180"/>
    <n v="17386"/>
    <x v="0"/>
    <x v="4"/>
  </r>
  <r>
    <n v="1010"/>
    <n v="45276"/>
    <s v="Aman"/>
    <x v="0"/>
    <x v="2"/>
    <n v="37087"/>
    <n v="24070"/>
    <n v="13017"/>
    <x v="0"/>
    <x v="5"/>
  </r>
  <r>
    <n v="1011"/>
    <n v="45254"/>
    <s v="Suresh"/>
    <x v="0"/>
    <x v="4"/>
    <n v="12331"/>
    <n v="8245"/>
    <n v="4086"/>
    <x v="0"/>
    <x v="2"/>
  </r>
  <r>
    <n v="1013"/>
    <n v="45375"/>
    <s v="Anjali"/>
    <x v="0"/>
    <x v="3"/>
    <n v="56856"/>
    <n v="49203"/>
    <n v="7653"/>
    <x v="1"/>
    <x v="6"/>
  </r>
  <r>
    <n v="1014"/>
    <n v="45000"/>
    <s v="Rohit"/>
    <x v="0"/>
    <x v="0"/>
    <n v="78579"/>
    <n v="59853"/>
    <n v="18726"/>
    <x v="0"/>
    <x v="6"/>
  </r>
  <r>
    <n v="1015"/>
    <n v="45146"/>
    <s v="Kiran"/>
    <x v="1"/>
    <x v="4"/>
    <n v="33746"/>
    <n v="30344"/>
    <n v="3402"/>
    <x v="0"/>
    <x v="4"/>
  </r>
  <r>
    <n v="1016"/>
    <n v="45179"/>
    <s v="Aman"/>
    <x v="2"/>
    <x v="1"/>
    <n v="25033"/>
    <n v="19731"/>
    <n v="5302"/>
    <x v="0"/>
    <x v="7"/>
  </r>
  <r>
    <n v="1017"/>
    <n v="45143"/>
    <s v="Kiran"/>
    <x v="2"/>
    <x v="3"/>
    <n v="55019"/>
    <n v="42846"/>
    <n v="12173"/>
    <x v="0"/>
    <x v="4"/>
  </r>
  <r>
    <n v="1018"/>
    <n v="45055"/>
    <s v="Suresh"/>
    <x v="2"/>
    <x v="1"/>
    <n v="75381"/>
    <n v="62209"/>
    <n v="13172"/>
    <x v="0"/>
    <x v="8"/>
  </r>
  <r>
    <n v="1019"/>
    <n v="45101"/>
    <s v="Aman"/>
    <x v="3"/>
    <x v="3"/>
    <n v="25730"/>
    <n v="18940"/>
    <n v="6790"/>
    <x v="0"/>
    <x v="9"/>
  </r>
  <r>
    <n v="1020"/>
    <n v="45375"/>
    <s v="Rohit"/>
    <x v="0"/>
    <x v="2"/>
    <n v="18947"/>
    <n v="16316"/>
    <n v="2631"/>
    <x v="1"/>
    <x v="6"/>
  </r>
  <r>
    <n v="1021"/>
    <n v="45254"/>
    <s v="Suresh"/>
    <x v="0"/>
    <x v="0"/>
    <n v="54009"/>
    <n v="44760"/>
    <n v="9249"/>
    <x v="0"/>
    <x v="2"/>
  </r>
  <r>
    <n v="1022"/>
    <n v="45325"/>
    <s v="Suresh"/>
    <x v="2"/>
    <x v="2"/>
    <n v="47487"/>
    <n v="35452"/>
    <n v="12035"/>
    <x v="1"/>
    <x v="3"/>
  </r>
  <r>
    <n v="1023"/>
    <n v="45112"/>
    <s v="Rohit"/>
    <x v="0"/>
    <x v="1"/>
    <n v="36571"/>
    <n v="31575"/>
    <n v="4996"/>
    <x v="0"/>
    <x v="10"/>
  </r>
  <r>
    <n v="1024"/>
    <n v="44970"/>
    <s v="Pooja"/>
    <x v="2"/>
    <x v="2"/>
    <n v="21483"/>
    <n v="13717"/>
    <n v="7766"/>
    <x v="0"/>
    <x v="3"/>
  </r>
  <r>
    <n v="1025"/>
    <n v="45208"/>
    <s v="Neha"/>
    <x v="3"/>
    <x v="2"/>
    <n v="60461"/>
    <n v="53768"/>
    <n v="6693"/>
    <x v="0"/>
    <x v="1"/>
  </r>
  <r>
    <n v="1026"/>
    <n v="45313"/>
    <s v="Priya"/>
    <x v="3"/>
    <x v="3"/>
    <n v="53944"/>
    <n v="39456"/>
    <n v="14488"/>
    <x v="1"/>
    <x v="0"/>
  </r>
  <r>
    <n v="1027"/>
    <n v="44988"/>
    <s v="Priya"/>
    <x v="0"/>
    <x v="1"/>
    <n v="49313"/>
    <n v="29898"/>
    <n v="19415"/>
    <x v="0"/>
    <x v="6"/>
  </r>
  <r>
    <n v="1028"/>
    <n v="45228"/>
    <s v="Priya"/>
    <x v="2"/>
    <x v="1"/>
    <n v="12716"/>
    <n v="8502"/>
    <n v="4214"/>
    <x v="0"/>
    <x v="1"/>
  </r>
  <r>
    <n v="1029"/>
    <n v="45367"/>
    <s v="Anjali"/>
    <x v="2"/>
    <x v="2"/>
    <n v="36195"/>
    <n v="24740"/>
    <n v="11455"/>
    <x v="1"/>
    <x v="6"/>
  </r>
  <r>
    <n v="1030"/>
    <n v="45203"/>
    <s v="Neha"/>
    <x v="1"/>
    <x v="0"/>
    <n v="66993"/>
    <n v="56424"/>
    <n v="10569"/>
    <x v="0"/>
    <x v="1"/>
  </r>
  <r>
    <n v="1031"/>
    <n v="44976"/>
    <s v="Vikas"/>
    <x v="3"/>
    <x v="3"/>
    <n v="58883"/>
    <n v="43579"/>
    <n v="15304"/>
    <x v="0"/>
    <x v="3"/>
  </r>
  <r>
    <n v="1032"/>
    <n v="45271"/>
    <s v="Aman"/>
    <x v="2"/>
    <x v="3"/>
    <n v="49473"/>
    <n v="41566"/>
    <n v="7907"/>
    <x v="0"/>
    <x v="5"/>
  </r>
  <r>
    <n v="1033"/>
    <n v="45025"/>
    <s v="Priya"/>
    <x v="1"/>
    <x v="0"/>
    <n v="60296"/>
    <n v="39496"/>
    <n v="20800"/>
    <x v="0"/>
    <x v="11"/>
  </r>
  <r>
    <n v="1034"/>
    <n v="45374"/>
    <s v="Aman"/>
    <x v="1"/>
    <x v="2"/>
    <n v="17833"/>
    <n v="10970"/>
    <n v="6863"/>
    <x v="1"/>
    <x v="6"/>
  </r>
  <r>
    <n v="1035"/>
    <n v="45355"/>
    <s v="Rahul"/>
    <x v="2"/>
    <x v="0"/>
    <n v="26798"/>
    <n v="19346"/>
    <n v="7452"/>
    <x v="1"/>
    <x v="6"/>
  </r>
  <r>
    <n v="1036"/>
    <n v="45369"/>
    <s v="Vikas"/>
    <x v="2"/>
    <x v="0"/>
    <n v="54672"/>
    <n v="32838"/>
    <n v="21834"/>
    <x v="1"/>
    <x v="6"/>
  </r>
  <r>
    <n v="1037"/>
    <n v="45328"/>
    <s v="Pooja"/>
    <x v="3"/>
    <x v="3"/>
    <n v="77845"/>
    <n v="62164"/>
    <n v="15681"/>
    <x v="1"/>
    <x v="3"/>
  </r>
  <r>
    <n v="1038"/>
    <n v="45024"/>
    <s v="Rohit"/>
    <x v="0"/>
    <x v="1"/>
    <n v="76066"/>
    <n v="47030"/>
    <n v="29036"/>
    <x v="0"/>
    <x v="11"/>
  </r>
  <r>
    <n v="1039"/>
    <n v="44952"/>
    <s v="Kiran"/>
    <x v="1"/>
    <x v="2"/>
    <n v="74615"/>
    <n v="48293"/>
    <n v="26322"/>
    <x v="0"/>
    <x v="0"/>
  </r>
  <r>
    <n v="1040"/>
    <n v="44968"/>
    <s v="Neha"/>
    <x v="2"/>
    <x v="2"/>
    <n v="13907"/>
    <n v="11161"/>
    <n v="2746"/>
    <x v="0"/>
    <x v="3"/>
  </r>
  <r>
    <n v="1041"/>
    <n v="44988"/>
    <s v="Kiran"/>
    <x v="0"/>
    <x v="2"/>
    <n v="10209"/>
    <n v="8022"/>
    <n v="2187"/>
    <x v="0"/>
    <x v="6"/>
  </r>
  <r>
    <n v="1042"/>
    <n v="45225"/>
    <s v="Kiran"/>
    <x v="3"/>
    <x v="4"/>
    <n v="31772"/>
    <n v="25446"/>
    <n v="6326"/>
    <x v="0"/>
    <x v="1"/>
  </r>
  <r>
    <n v="1043"/>
    <n v="45062"/>
    <s v="Vikas"/>
    <x v="0"/>
    <x v="4"/>
    <n v="64929"/>
    <n v="45116"/>
    <n v="19813"/>
    <x v="0"/>
    <x v="8"/>
  </r>
  <r>
    <n v="1044"/>
    <n v="44964"/>
    <s v="Rahul"/>
    <x v="1"/>
    <x v="2"/>
    <n v="78792"/>
    <n v="70820"/>
    <n v="7972"/>
    <x v="0"/>
    <x v="3"/>
  </r>
  <r>
    <n v="1045"/>
    <n v="45036"/>
    <s v="Suresh"/>
    <x v="3"/>
    <x v="0"/>
    <n v="50745"/>
    <n v="43856"/>
    <n v="6889"/>
    <x v="0"/>
    <x v="11"/>
  </r>
  <r>
    <n v="1046"/>
    <n v="45116"/>
    <s v="Rohit"/>
    <x v="0"/>
    <x v="3"/>
    <n v="76200"/>
    <n v="61802"/>
    <n v="14398"/>
    <x v="0"/>
    <x v="10"/>
  </r>
  <r>
    <n v="1047"/>
    <n v="45340"/>
    <s v="Suresh"/>
    <x v="2"/>
    <x v="2"/>
    <n v="44240"/>
    <n v="38910"/>
    <n v="5330"/>
    <x v="1"/>
    <x v="3"/>
  </r>
  <r>
    <n v="1048"/>
    <n v="45376"/>
    <s v="Neha"/>
    <x v="3"/>
    <x v="1"/>
    <n v="19029"/>
    <n v="15655"/>
    <n v="3374"/>
    <x v="1"/>
    <x v="6"/>
  </r>
  <r>
    <n v="1049"/>
    <n v="45071"/>
    <s v="Kiran"/>
    <x v="0"/>
    <x v="4"/>
    <n v="31685"/>
    <n v="25546"/>
    <n v="6139"/>
    <x v="0"/>
    <x v="8"/>
  </r>
  <r>
    <n v="1050"/>
    <n v="45185"/>
    <s v="Pooja"/>
    <x v="3"/>
    <x v="1"/>
    <n v="17097"/>
    <n v="13511"/>
    <n v="3586"/>
    <x v="0"/>
    <x v="7"/>
  </r>
  <r>
    <n v="1051"/>
    <n v="44949"/>
    <s v="Rahul"/>
    <x v="3"/>
    <x v="0"/>
    <n v="39335"/>
    <n v="25507"/>
    <n v="13828"/>
    <x v="0"/>
    <x v="0"/>
  </r>
  <r>
    <n v="1052"/>
    <n v="45288"/>
    <s v="Vikas"/>
    <x v="2"/>
    <x v="1"/>
    <n v="14862"/>
    <n v="13130"/>
    <n v="1732"/>
    <x v="0"/>
    <x v="5"/>
  </r>
  <r>
    <n v="1053"/>
    <n v="45003"/>
    <s v="Suresh"/>
    <x v="2"/>
    <x v="4"/>
    <n v="77420"/>
    <n v="49891"/>
    <n v="27529"/>
    <x v="0"/>
    <x v="6"/>
  </r>
  <r>
    <n v="1054"/>
    <n v="45084"/>
    <s v="Anjali"/>
    <x v="2"/>
    <x v="4"/>
    <n v="32535"/>
    <n v="26178"/>
    <n v="6357"/>
    <x v="0"/>
    <x v="9"/>
  </r>
  <r>
    <n v="1055"/>
    <n v="45108"/>
    <s v="Suresh"/>
    <x v="1"/>
    <x v="2"/>
    <n v="25257"/>
    <n v="22168"/>
    <n v="3089"/>
    <x v="0"/>
    <x v="10"/>
  </r>
  <r>
    <n v="1056"/>
    <n v="45010"/>
    <s v="Neha"/>
    <x v="1"/>
    <x v="1"/>
    <n v="28509"/>
    <n v="23405"/>
    <n v="5104"/>
    <x v="0"/>
    <x v="6"/>
  </r>
  <r>
    <n v="1057"/>
    <n v="45137"/>
    <s v="Priya"/>
    <x v="3"/>
    <x v="0"/>
    <n v="19168"/>
    <n v="13700"/>
    <n v="5468"/>
    <x v="0"/>
    <x v="10"/>
  </r>
  <r>
    <n v="1059"/>
    <n v="45373"/>
    <s v="Priya"/>
    <x v="0"/>
    <x v="1"/>
    <n v="30313"/>
    <n v="21811"/>
    <n v="8502"/>
    <x v="1"/>
    <x v="6"/>
  </r>
  <r>
    <n v="1060"/>
    <n v="44962"/>
    <s v="Rohit"/>
    <x v="3"/>
    <x v="2"/>
    <n v="57386"/>
    <n v="46130"/>
    <n v="11256"/>
    <x v="0"/>
    <x v="3"/>
  </r>
  <r>
    <n v="1061"/>
    <n v="45096"/>
    <s v="Rahul"/>
    <x v="2"/>
    <x v="4"/>
    <n v="28405"/>
    <n v="21990"/>
    <n v="6415"/>
    <x v="0"/>
    <x v="9"/>
  </r>
  <r>
    <n v="1062"/>
    <n v="44946"/>
    <s v="Aman"/>
    <x v="1"/>
    <x v="4"/>
    <n v="46114"/>
    <n v="33705"/>
    <n v="12409"/>
    <x v="0"/>
    <x v="0"/>
  </r>
  <r>
    <n v="1063"/>
    <n v="44986"/>
    <s v="Vikas"/>
    <x v="0"/>
    <x v="4"/>
    <n v="10817"/>
    <n v="8790"/>
    <n v="2027"/>
    <x v="0"/>
    <x v="6"/>
  </r>
  <r>
    <n v="1065"/>
    <n v="45096"/>
    <s v="Kiran"/>
    <x v="3"/>
    <x v="1"/>
    <n v="44363"/>
    <n v="33367"/>
    <n v="10996"/>
    <x v="0"/>
    <x v="9"/>
  </r>
  <r>
    <n v="1066"/>
    <n v="45094"/>
    <s v="Vikas"/>
    <x v="3"/>
    <x v="2"/>
    <n v="21683"/>
    <n v="14257"/>
    <n v="7426"/>
    <x v="0"/>
    <x v="9"/>
  </r>
  <r>
    <n v="1067"/>
    <n v="45121"/>
    <s v="Neha"/>
    <x v="3"/>
    <x v="3"/>
    <n v="76819"/>
    <n v="65305"/>
    <n v="11514"/>
    <x v="0"/>
    <x v="10"/>
  </r>
  <r>
    <n v="1068"/>
    <n v="45034"/>
    <s v="Vikas"/>
    <x v="3"/>
    <x v="3"/>
    <n v="62905"/>
    <n v="46087"/>
    <n v="16818"/>
    <x v="0"/>
    <x v="11"/>
  </r>
  <r>
    <n v="1069"/>
    <n v="45169"/>
    <s v="Neha"/>
    <x v="2"/>
    <x v="4"/>
    <n v="72561"/>
    <n v="57987"/>
    <n v="14574"/>
    <x v="0"/>
    <x v="4"/>
  </r>
  <r>
    <n v="1070"/>
    <n v="44974"/>
    <s v="Priya"/>
    <x v="3"/>
    <x v="0"/>
    <n v="31100"/>
    <n v="20034"/>
    <n v="11066"/>
    <x v="0"/>
    <x v="3"/>
  </r>
  <r>
    <n v="1072"/>
    <n v="45294"/>
    <s v="Vikas"/>
    <x v="1"/>
    <x v="3"/>
    <n v="36979"/>
    <n v="23824"/>
    <n v="13155"/>
    <x v="1"/>
    <x v="0"/>
  </r>
  <r>
    <n v="1073"/>
    <n v="45311"/>
    <s v="Aman"/>
    <x v="1"/>
    <x v="0"/>
    <n v="28053"/>
    <n v="23599"/>
    <n v="4454"/>
    <x v="1"/>
    <x v="0"/>
  </r>
  <r>
    <n v="1074"/>
    <n v="45164"/>
    <s v="Rahul"/>
    <x v="0"/>
    <x v="1"/>
    <n v="64829"/>
    <n v="41490"/>
    <n v="23339"/>
    <x v="0"/>
    <x v="4"/>
  </r>
  <r>
    <n v="1075"/>
    <n v="45198"/>
    <s v="Suresh"/>
    <x v="3"/>
    <x v="3"/>
    <n v="71162"/>
    <n v="51807"/>
    <n v="19355"/>
    <x v="0"/>
    <x v="7"/>
  </r>
  <r>
    <n v="1076"/>
    <n v="45155"/>
    <s v="Neha"/>
    <x v="1"/>
    <x v="3"/>
    <n v="38972"/>
    <n v="32172"/>
    <n v="6800"/>
    <x v="0"/>
    <x v="4"/>
  </r>
  <r>
    <n v="1077"/>
    <n v="45068"/>
    <s v="Suresh"/>
    <x v="1"/>
    <x v="0"/>
    <n v="40992"/>
    <n v="30004"/>
    <n v="10988"/>
    <x v="0"/>
    <x v="8"/>
  </r>
  <r>
    <n v="1078"/>
    <n v="45047"/>
    <s v="Rohit"/>
    <x v="3"/>
    <x v="4"/>
    <n v="75798"/>
    <n v="47311"/>
    <n v="28487"/>
    <x v="0"/>
    <x v="8"/>
  </r>
  <r>
    <n v="1079"/>
    <n v="45123"/>
    <s v="Neha"/>
    <x v="0"/>
    <x v="1"/>
    <n v="59377"/>
    <n v="42886"/>
    <n v="16491"/>
    <x v="0"/>
    <x v="10"/>
  </r>
  <r>
    <n v="1080"/>
    <n v="45139"/>
    <s v="Rahul"/>
    <x v="0"/>
    <x v="3"/>
    <n v="56049"/>
    <n v="48843"/>
    <n v="7206"/>
    <x v="0"/>
    <x v="4"/>
  </r>
  <r>
    <n v="1081"/>
    <n v="45283"/>
    <s v="Rahul"/>
    <x v="1"/>
    <x v="3"/>
    <n v="5772"/>
    <n v="5095"/>
    <n v="677"/>
    <x v="0"/>
    <x v="5"/>
  </r>
  <r>
    <n v="1082"/>
    <n v="45126"/>
    <s v="Vikas"/>
    <x v="0"/>
    <x v="3"/>
    <n v="33760"/>
    <n v="23020"/>
    <n v="10740"/>
    <x v="0"/>
    <x v="10"/>
  </r>
  <r>
    <n v="1083"/>
    <n v="45126"/>
    <s v="Anjali"/>
    <x v="1"/>
    <x v="0"/>
    <n v="66261"/>
    <n v="58035"/>
    <n v="8226"/>
    <x v="0"/>
    <x v="10"/>
  </r>
  <r>
    <n v="1084"/>
    <n v="45200"/>
    <s v="Rahul"/>
    <x v="1"/>
    <x v="2"/>
    <n v="78975"/>
    <n v="63093"/>
    <n v="15882"/>
    <x v="0"/>
    <x v="1"/>
  </r>
  <r>
    <n v="1085"/>
    <n v="45146"/>
    <s v="Neha"/>
    <x v="1"/>
    <x v="0"/>
    <n v="11590"/>
    <n v="7858"/>
    <n v="3732"/>
    <x v="0"/>
    <x v="4"/>
  </r>
  <r>
    <n v="1086"/>
    <n v="45159"/>
    <s v="Anjali"/>
    <x v="3"/>
    <x v="3"/>
    <n v="41471"/>
    <n v="34238"/>
    <n v="7233"/>
    <x v="0"/>
    <x v="4"/>
  </r>
  <r>
    <n v="1087"/>
    <n v="45056"/>
    <s v="Aman"/>
    <x v="1"/>
    <x v="1"/>
    <n v="75702"/>
    <n v="46604"/>
    <n v="29098"/>
    <x v="0"/>
    <x v="8"/>
  </r>
  <r>
    <n v="1088"/>
    <n v="45041"/>
    <s v="Aman"/>
    <x v="2"/>
    <x v="1"/>
    <n v="37411"/>
    <n v="24684"/>
    <n v="12727"/>
    <x v="0"/>
    <x v="11"/>
  </r>
  <r>
    <n v="1090"/>
    <n v="45038"/>
    <s v="Pooja"/>
    <x v="3"/>
    <x v="4"/>
    <n v="26992"/>
    <n v="21101"/>
    <n v="5891"/>
    <x v="0"/>
    <x v="11"/>
  </r>
  <r>
    <n v="1091"/>
    <n v="45294"/>
    <s v="Aman"/>
    <x v="0"/>
    <x v="4"/>
    <n v="19168"/>
    <n v="14828"/>
    <n v="4340"/>
    <x v="1"/>
    <x v="0"/>
  </r>
  <r>
    <n v="1092"/>
    <n v="45221"/>
    <s v="Vikas"/>
    <x v="1"/>
    <x v="0"/>
    <n v="14961"/>
    <n v="11634"/>
    <n v="3327"/>
    <x v="0"/>
    <x v="1"/>
  </r>
  <r>
    <n v="1093"/>
    <n v="45051"/>
    <s v="Aman"/>
    <x v="3"/>
    <x v="2"/>
    <n v="20866"/>
    <n v="17503"/>
    <n v="3363"/>
    <x v="0"/>
    <x v="8"/>
  </r>
  <r>
    <n v="1094"/>
    <n v="44948"/>
    <s v="Anjali"/>
    <x v="1"/>
    <x v="4"/>
    <n v="14038"/>
    <n v="10553"/>
    <n v="3485"/>
    <x v="0"/>
    <x v="0"/>
  </r>
  <r>
    <n v="1095"/>
    <n v="45361"/>
    <s v="Vikas"/>
    <x v="1"/>
    <x v="1"/>
    <n v="61822"/>
    <n v="54912"/>
    <n v="6910"/>
    <x v="1"/>
    <x v="6"/>
  </r>
  <r>
    <n v="1096"/>
    <n v="45351"/>
    <s v="Pooja"/>
    <x v="0"/>
    <x v="3"/>
    <n v="28086"/>
    <n v="23034"/>
    <n v="5052"/>
    <x v="1"/>
    <x v="3"/>
  </r>
  <r>
    <n v="1097"/>
    <n v="45065"/>
    <s v="Kiran"/>
    <x v="1"/>
    <x v="3"/>
    <n v="62091"/>
    <n v="52635"/>
    <n v="9456"/>
    <x v="0"/>
    <x v="8"/>
  </r>
  <r>
    <n v="1098"/>
    <n v="45092"/>
    <s v="Priya"/>
    <x v="2"/>
    <x v="4"/>
    <n v="64087"/>
    <n v="43140"/>
    <n v="20947"/>
    <x v="0"/>
    <x v="9"/>
  </r>
  <r>
    <n v="1099"/>
    <n v="45239"/>
    <s v="Vikas"/>
    <x v="3"/>
    <x v="1"/>
    <n v="69789"/>
    <n v="59689"/>
    <n v="10100"/>
    <x v="0"/>
    <x v="2"/>
  </r>
  <r>
    <n v="1100"/>
    <n v="45035"/>
    <s v="Anjali"/>
    <x v="3"/>
    <x v="4"/>
    <n v="41655"/>
    <n v="35993"/>
    <n v="5662"/>
    <x v="0"/>
    <x v="11"/>
  </r>
  <r>
    <n v="1101"/>
    <n v="45068"/>
    <s v="Suresh"/>
    <x v="2"/>
    <x v="2"/>
    <n v="30042"/>
    <n v="18796"/>
    <n v="11246"/>
    <x v="0"/>
    <x v="8"/>
  </r>
  <r>
    <n v="1102"/>
    <n v="45177"/>
    <s v="Suresh"/>
    <x v="0"/>
    <x v="3"/>
    <n v="69332"/>
    <n v="50921"/>
    <n v="18411"/>
    <x v="0"/>
    <x v="7"/>
  </r>
  <r>
    <n v="1104"/>
    <n v="45169"/>
    <s v="Suresh"/>
    <x v="3"/>
    <x v="3"/>
    <n v="77140"/>
    <n v="53939"/>
    <n v="23201"/>
    <x v="0"/>
    <x v="4"/>
  </r>
  <r>
    <n v="1105"/>
    <n v="45065"/>
    <s v="Rohit"/>
    <x v="3"/>
    <x v="0"/>
    <n v="20814"/>
    <n v="16992"/>
    <n v="3822"/>
    <x v="0"/>
    <x v="8"/>
  </r>
  <r>
    <n v="1106"/>
    <n v="45307"/>
    <s v="Suresh"/>
    <x v="0"/>
    <x v="0"/>
    <n v="33361"/>
    <n v="27408"/>
    <n v="5953"/>
    <x v="1"/>
    <x v="0"/>
  </r>
  <r>
    <n v="1107"/>
    <n v="45228"/>
    <s v="Suresh"/>
    <x v="3"/>
    <x v="1"/>
    <n v="30443"/>
    <n v="20971"/>
    <n v="9472"/>
    <x v="0"/>
    <x v="1"/>
  </r>
  <r>
    <n v="1108"/>
    <n v="45081"/>
    <s v="Rahul"/>
    <x v="0"/>
    <x v="4"/>
    <n v="10965"/>
    <n v="9783"/>
    <n v="1182"/>
    <x v="0"/>
    <x v="9"/>
  </r>
  <r>
    <n v="1109"/>
    <n v="45284"/>
    <s v="Neha"/>
    <x v="1"/>
    <x v="1"/>
    <n v="6607"/>
    <n v="5102"/>
    <n v="1505"/>
    <x v="0"/>
    <x v="5"/>
  </r>
  <r>
    <n v="1110"/>
    <n v="45152"/>
    <s v="Anjali"/>
    <x v="0"/>
    <x v="1"/>
    <n v="38092"/>
    <n v="33609"/>
    <n v="4483"/>
    <x v="0"/>
    <x v="4"/>
  </r>
  <r>
    <n v="1111"/>
    <n v="45347"/>
    <s v="Aman"/>
    <x v="1"/>
    <x v="3"/>
    <n v="14710"/>
    <n v="11372"/>
    <n v="3338"/>
    <x v="1"/>
    <x v="3"/>
  </r>
  <r>
    <n v="1112"/>
    <n v="45004"/>
    <s v="Neha"/>
    <x v="3"/>
    <x v="1"/>
    <n v="37530"/>
    <n v="23851"/>
    <n v="13679"/>
    <x v="0"/>
    <x v="6"/>
  </r>
  <r>
    <n v="1113"/>
    <n v="45237"/>
    <s v="Kiran"/>
    <x v="0"/>
    <x v="2"/>
    <n v="54856"/>
    <n v="40327"/>
    <n v="14529"/>
    <x v="0"/>
    <x v="2"/>
  </r>
  <r>
    <n v="1114"/>
    <n v="45367"/>
    <s v="Kiran"/>
    <x v="1"/>
    <x v="4"/>
    <n v="79531"/>
    <n v="62535"/>
    <n v="16996"/>
    <x v="1"/>
    <x v="6"/>
  </r>
  <r>
    <n v="1115"/>
    <n v="45305"/>
    <s v="Aman"/>
    <x v="0"/>
    <x v="0"/>
    <n v="39687"/>
    <n v="31675"/>
    <n v="8012"/>
    <x v="1"/>
    <x v="0"/>
  </r>
  <r>
    <n v="1116"/>
    <n v="45015"/>
    <s v="Suresh"/>
    <x v="2"/>
    <x v="0"/>
    <n v="5350"/>
    <n v="3865"/>
    <n v="1485"/>
    <x v="0"/>
    <x v="6"/>
  </r>
  <r>
    <n v="1117"/>
    <n v="45167"/>
    <s v="Rohit"/>
    <x v="2"/>
    <x v="0"/>
    <n v="42762"/>
    <n v="34726"/>
    <n v="8036"/>
    <x v="0"/>
    <x v="4"/>
  </r>
  <r>
    <n v="1118"/>
    <n v="45159"/>
    <s v="Aman"/>
    <x v="0"/>
    <x v="4"/>
    <n v="30928"/>
    <n v="22501"/>
    <n v="8427"/>
    <x v="0"/>
    <x v="4"/>
  </r>
  <r>
    <n v="1119"/>
    <n v="45258"/>
    <s v="Neha"/>
    <x v="3"/>
    <x v="0"/>
    <n v="14359"/>
    <n v="8872"/>
    <n v="5487"/>
    <x v="0"/>
    <x v="2"/>
  </r>
  <r>
    <n v="1120"/>
    <n v="45231"/>
    <s v="Kiran"/>
    <x v="3"/>
    <x v="3"/>
    <n v="21299"/>
    <n v="15774"/>
    <n v="5525"/>
    <x v="0"/>
    <x v="2"/>
  </r>
  <r>
    <n v="1121"/>
    <n v="45133"/>
    <s v="Rohit"/>
    <x v="1"/>
    <x v="3"/>
    <n v="15543"/>
    <n v="12114"/>
    <n v="3429"/>
    <x v="0"/>
    <x v="10"/>
  </r>
  <r>
    <n v="1122"/>
    <n v="45303"/>
    <s v="Anjali"/>
    <x v="3"/>
    <x v="1"/>
    <n v="16970"/>
    <n v="11347"/>
    <n v="5623"/>
    <x v="1"/>
    <x v="0"/>
  </r>
  <r>
    <n v="1123"/>
    <n v="45367"/>
    <s v="Kiran"/>
    <x v="2"/>
    <x v="4"/>
    <n v="10273"/>
    <n v="8515"/>
    <n v="1758"/>
    <x v="1"/>
    <x v="6"/>
  </r>
  <r>
    <n v="1124"/>
    <n v="45192"/>
    <s v="Pooja"/>
    <x v="3"/>
    <x v="0"/>
    <n v="62132"/>
    <n v="49111"/>
    <n v="13021"/>
    <x v="0"/>
    <x v="7"/>
  </r>
  <r>
    <n v="1125"/>
    <n v="44973"/>
    <s v="Pooja"/>
    <x v="3"/>
    <x v="3"/>
    <n v="48687"/>
    <n v="33901"/>
    <n v="14786"/>
    <x v="0"/>
    <x v="3"/>
  </r>
  <r>
    <n v="1126"/>
    <n v="45009"/>
    <s v="Anjali"/>
    <x v="1"/>
    <x v="3"/>
    <n v="42777"/>
    <n v="34169"/>
    <n v="8608"/>
    <x v="0"/>
    <x v="6"/>
  </r>
  <r>
    <n v="1127"/>
    <n v="45316"/>
    <s v="Suresh"/>
    <x v="2"/>
    <x v="3"/>
    <n v="16542"/>
    <n v="11486"/>
    <n v="5056"/>
    <x v="1"/>
    <x v="0"/>
  </r>
  <r>
    <n v="1128"/>
    <n v="45322"/>
    <s v="Vikas"/>
    <x v="2"/>
    <x v="2"/>
    <n v="65552"/>
    <n v="47457"/>
    <n v="18095"/>
    <x v="1"/>
    <x v="0"/>
  </r>
  <r>
    <n v="1129"/>
    <n v="45112"/>
    <s v="Kiran"/>
    <x v="1"/>
    <x v="3"/>
    <n v="11764"/>
    <n v="7776"/>
    <n v="3988"/>
    <x v="0"/>
    <x v="10"/>
  </r>
  <r>
    <n v="1130"/>
    <n v="45074"/>
    <s v="Pooja"/>
    <x v="1"/>
    <x v="1"/>
    <n v="8783"/>
    <n v="7833"/>
    <n v="950"/>
    <x v="0"/>
    <x v="8"/>
  </r>
  <r>
    <n v="1131"/>
    <n v="45049"/>
    <s v="Neha"/>
    <x v="3"/>
    <x v="2"/>
    <n v="6792"/>
    <n v="5200"/>
    <n v="1592"/>
    <x v="0"/>
    <x v="8"/>
  </r>
  <r>
    <n v="1132"/>
    <n v="45357"/>
    <s v="Aman"/>
    <x v="1"/>
    <x v="1"/>
    <n v="25181"/>
    <n v="18873"/>
    <n v="6308"/>
    <x v="1"/>
    <x v="6"/>
  </r>
  <r>
    <n v="1133"/>
    <n v="45187"/>
    <s v="Rohit"/>
    <x v="1"/>
    <x v="3"/>
    <n v="66894"/>
    <n v="45027"/>
    <n v="21867"/>
    <x v="0"/>
    <x v="7"/>
  </r>
  <r>
    <n v="1134"/>
    <n v="45123"/>
    <s v="Priya"/>
    <x v="0"/>
    <x v="1"/>
    <n v="41208"/>
    <n v="34276"/>
    <n v="6932"/>
    <x v="0"/>
    <x v="10"/>
  </r>
  <r>
    <n v="1135"/>
    <n v="45101"/>
    <s v="Suresh"/>
    <x v="3"/>
    <x v="1"/>
    <n v="42072"/>
    <n v="34407"/>
    <n v="7665"/>
    <x v="0"/>
    <x v="9"/>
  </r>
  <r>
    <n v="1136"/>
    <n v="45223"/>
    <s v="Pooja"/>
    <x v="0"/>
    <x v="3"/>
    <n v="75592"/>
    <n v="56338"/>
    <n v="19254"/>
    <x v="0"/>
    <x v="1"/>
  </r>
  <r>
    <n v="1137"/>
    <n v="45317"/>
    <s v="Suresh"/>
    <x v="1"/>
    <x v="3"/>
    <n v="47176"/>
    <n v="40612"/>
    <n v="6564"/>
    <x v="1"/>
    <x v="0"/>
  </r>
  <r>
    <n v="1138"/>
    <n v="45049"/>
    <s v="Kiran"/>
    <x v="1"/>
    <x v="0"/>
    <n v="58841"/>
    <n v="36075"/>
    <n v="22766"/>
    <x v="0"/>
    <x v="8"/>
  </r>
  <r>
    <n v="1139"/>
    <n v="45288"/>
    <s v="Vikas"/>
    <x v="1"/>
    <x v="0"/>
    <n v="69923"/>
    <n v="62192"/>
    <n v="7731"/>
    <x v="0"/>
    <x v="5"/>
  </r>
  <r>
    <n v="1140"/>
    <n v="45229"/>
    <s v="Anjali"/>
    <x v="2"/>
    <x v="3"/>
    <n v="18069"/>
    <n v="13692"/>
    <n v="4377"/>
    <x v="0"/>
    <x v="1"/>
  </r>
  <r>
    <n v="1141"/>
    <n v="45296"/>
    <s v="Neha"/>
    <x v="1"/>
    <x v="0"/>
    <n v="14807"/>
    <n v="10969"/>
    <n v="3838"/>
    <x v="1"/>
    <x v="0"/>
  </r>
  <r>
    <n v="1142"/>
    <n v="45100"/>
    <s v="Kiran"/>
    <x v="1"/>
    <x v="1"/>
    <n v="48065"/>
    <n v="41129"/>
    <n v="6936"/>
    <x v="0"/>
    <x v="9"/>
  </r>
  <r>
    <n v="1143"/>
    <n v="45121"/>
    <s v="Anjali"/>
    <x v="1"/>
    <x v="2"/>
    <n v="9705"/>
    <n v="7620"/>
    <n v="2085"/>
    <x v="0"/>
    <x v="10"/>
  </r>
  <r>
    <n v="1144"/>
    <n v="45277"/>
    <s v="Rohit"/>
    <x v="0"/>
    <x v="1"/>
    <n v="61881"/>
    <n v="55290"/>
    <n v="6591"/>
    <x v="0"/>
    <x v="5"/>
  </r>
  <r>
    <n v="1145"/>
    <n v="45287"/>
    <s v="Aman"/>
    <x v="1"/>
    <x v="0"/>
    <n v="44251"/>
    <n v="38543"/>
    <n v="5708"/>
    <x v="0"/>
    <x v="5"/>
  </r>
  <r>
    <n v="1147"/>
    <n v="45137"/>
    <s v="Kiran"/>
    <x v="0"/>
    <x v="0"/>
    <n v="27946"/>
    <n v="17429"/>
    <n v="10517"/>
    <x v="0"/>
    <x v="10"/>
  </r>
  <r>
    <n v="1148"/>
    <n v="45244"/>
    <s v="Priya"/>
    <x v="1"/>
    <x v="2"/>
    <n v="23758"/>
    <n v="15909"/>
    <n v="7849"/>
    <x v="0"/>
    <x v="2"/>
  </r>
  <r>
    <n v="1149"/>
    <n v="45162"/>
    <s v="Rohit"/>
    <x v="2"/>
    <x v="3"/>
    <n v="42700"/>
    <n v="34300"/>
    <n v="8400"/>
    <x v="0"/>
    <x v="4"/>
  </r>
  <r>
    <n v="1150"/>
    <n v="45153"/>
    <s v="Anjali"/>
    <x v="3"/>
    <x v="3"/>
    <n v="37780"/>
    <n v="27845"/>
    <n v="9935"/>
    <x v="0"/>
    <x v="4"/>
  </r>
  <r>
    <n v="1151"/>
    <n v="45123"/>
    <s v="Pooja"/>
    <x v="2"/>
    <x v="0"/>
    <n v="54986"/>
    <n v="42425"/>
    <n v="12561"/>
    <x v="0"/>
    <x v="10"/>
  </r>
  <r>
    <n v="1152"/>
    <n v="45285"/>
    <s v="Rohit"/>
    <x v="2"/>
    <x v="3"/>
    <n v="40976"/>
    <n v="24685"/>
    <n v="16291"/>
    <x v="0"/>
    <x v="5"/>
  </r>
  <r>
    <n v="1153"/>
    <n v="45325"/>
    <s v="Rahul"/>
    <x v="1"/>
    <x v="4"/>
    <n v="35162"/>
    <n v="27500"/>
    <n v="7662"/>
    <x v="1"/>
    <x v="3"/>
  </r>
  <r>
    <n v="1154"/>
    <n v="45252"/>
    <s v="Priya"/>
    <x v="3"/>
    <x v="0"/>
    <n v="17735"/>
    <n v="15447"/>
    <n v="2288"/>
    <x v="0"/>
    <x v="2"/>
  </r>
  <r>
    <n v="1155"/>
    <n v="45085"/>
    <s v="Pooja"/>
    <x v="2"/>
    <x v="2"/>
    <n v="52823"/>
    <n v="43299"/>
    <n v="9524"/>
    <x v="0"/>
    <x v="9"/>
  </r>
  <r>
    <n v="1156"/>
    <n v="45078"/>
    <s v="Anjali"/>
    <x v="1"/>
    <x v="0"/>
    <n v="31318"/>
    <n v="20032"/>
    <n v="11286"/>
    <x v="0"/>
    <x v="9"/>
  </r>
  <r>
    <n v="1157"/>
    <n v="45114"/>
    <s v="Suresh"/>
    <x v="3"/>
    <x v="0"/>
    <n v="38681"/>
    <n v="33815"/>
    <n v="4866"/>
    <x v="0"/>
    <x v="10"/>
  </r>
  <r>
    <n v="1158"/>
    <n v="45339"/>
    <s v="Rohit"/>
    <x v="3"/>
    <x v="1"/>
    <n v="66385"/>
    <n v="59007"/>
    <n v="7378"/>
    <x v="1"/>
    <x v="3"/>
  </r>
  <r>
    <n v="1159"/>
    <n v="45042"/>
    <s v="Vikas"/>
    <x v="3"/>
    <x v="1"/>
    <n v="56717"/>
    <n v="34267"/>
    <n v="22450"/>
    <x v="0"/>
    <x v="11"/>
  </r>
  <r>
    <n v="1160"/>
    <n v="45159"/>
    <s v="Anjali"/>
    <x v="3"/>
    <x v="2"/>
    <n v="54941"/>
    <n v="46519"/>
    <n v="8422"/>
    <x v="0"/>
    <x v="4"/>
  </r>
  <r>
    <n v="1161"/>
    <n v="44982"/>
    <s v="Priya"/>
    <x v="1"/>
    <x v="1"/>
    <n v="78584"/>
    <n v="54883"/>
    <n v="23701"/>
    <x v="0"/>
    <x v="3"/>
  </r>
  <r>
    <n v="1162"/>
    <n v="45258"/>
    <s v="Aman"/>
    <x v="1"/>
    <x v="4"/>
    <n v="58516"/>
    <n v="37157"/>
    <n v="21359"/>
    <x v="0"/>
    <x v="2"/>
  </r>
  <r>
    <n v="1164"/>
    <n v="44996"/>
    <s v="Vikas"/>
    <x v="1"/>
    <x v="4"/>
    <n v="75804"/>
    <n v="55013"/>
    <n v="20791"/>
    <x v="0"/>
    <x v="6"/>
  </r>
  <r>
    <n v="1165"/>
    <n v="45006"/>
    <s v="Vikas"/>
    <x v="2"/>
    <x v="3"/>
    <n v="58492"/>
    <n v="51573"/>
    <n v="6919"/>
    <x v="0"/>
    <x v="6"/>
  </r>
  <r>
    <n v="1166"/>
    <n v="45280"/>
    <s v="Anjali"/>
    <x v="0"/>
    <x v="3"/>
    <n v="63287"/>
    <n v="56019"/>
    <n v="7268"/>
    <x v="0"/>
    <x v="5"/>
  </r>
  <r>
    <n v="1167"/>
    <n v="44977"/>
    <s v="Anjali"/>
    <x v="3"/>
    <x v="1"/>
    <n v="57184"/>
    <n v="39043"/>
    <n v="18141"/>
    <x v="0"/>
    <x v="3"/>
  </r>
  <r>
    <n v="1168"/>
    <n v="45361"/>
    <s v="Pooja"/>
    <x v="2"/>
    <x v="0"/>
    <n v="7799"/>
    <n v="4797"/>
    <n v="3002"/>
    <x v="1"/>
    <x v="6"/>
  </r>
  <r>
    <n v="1169"/>
    <n v="44991"/>
    <s v="Kiran"/>
    <x v="0"/>
    <x v="1"/>
    <n v="77641"/>
    <n v="51409"/>
    <n v="26232"/>
    <x v="0"/>
    <x v="6"/>
  </r>
  <r>
    <n v="1170"/>
    <n v="45372"/>
    <s v="Priya"/>
    <x v="3"/>
    <x v="0"/>
    <n v="5371"/>
    <n v="3669"/>
    <n v="1702"/>
    <x v="1"/>
    <x v="6"/>
  </r>
  <r>
    <n v="1171"/>
    <n v="44993"/>
    <s v="Suresh"/>
    <x v="3"/>
    <x v="0"/>
    <n v="19408"/>
    <n v="15493"/>
    <n v="3915"/>
    <x v="0"/>
    <x v="6"/>
  </r>
  <r>
    <n v="1173"/>
    <n v="44991"/>
    <s v="Vikas"/>
    <x v="2"/>
    <x v="1"/>
    <n v="67422"/>
    <n v="49520"/>
    <n v="17902"/>
    <x v="0"/>
    <x v="6"/>
  </r>
  <r>
    <n v="1174"/>
    <n v="45230"/>
    <s v="Aman"/>
    <x v="1"/>
    <x v="2"/>
    <n v="34038"/>
    <n v="30076"/>
    <n v="3962"/>
    <x v="0"/>
    <x v="1"/>
  </r>
  <r>
    <n v="1176"/>
    <n v="45132"/>
    <s v="Vikas"/>
    <x v="2"/>
    <x v="3"/>
    <n v="63138"/>
    <n v="39274"/>
    <n v="23864"/>
    <x v="0"/>
    <x v="10"/>
  </r>
  <r>
    <n v="1177"/>
    <n v="45238"/>
    <s v="Neha"/>
    <x v="2"/>
    <x v="0"/>
    <n v="41046"/>
    <n v="32315"/>
    <n v="8731"/>
    <x v="0"/>
    <x v="2"/>
  </r>
  <r>
    <n v="1178"/>
    <n v="45291"/>
    <s v="Anjali"/>
    <x v="1"/>
    <x v="2"/>
    <n v="74541"/>
    <n v="51319"/>
    <n v="23222"/>
    <x v="0"/>
    <x v="5"/>
  </r>
  <r>
    <n v="1179"/>
    <n v="45147"/>
    <s v="Aman"/>
    <x v="2"/>
    <x v="2"/>
    <n v="33183"/>
    <n v="24191"/>
    <n v="8992"/>
    <x v="0"/>
    <x v="4"/>
  </r>
  <r>
    <n v="1180"/>
    <n v="45138"/>
    <s v="Anjali"/>
    <x v="1"/>
    <x v="3"/>
    <n v="59524"/>
    <n v="48743"/>
    <n v="10781"/>
    <x v="0"/>
    <x v="10"/>
  </r>
  <r>
    <n v="1181"/>
    <n v="45087"/>
    <s v="Rohit"/>
    <x v="3"/>
    <x v="0"/>
    <n v="67163"/>
    <n v="41650"/>
    <n v="25513"/>
    <x v="0"/>
    <x v="9"/>
  </r>
  <r>
    <n v="1182"/>
    <n v="44974"/>
    <s v="Vikas"/>
    <x v="2"/>
    <x v="4"/>
    <n v="22054"/>
    <n v="16913"/>
    <n v="5141"/>
    <x v="0"/>
    <x v="3"/>
  </r>
  <r>
    <n v="1183"/>
    <n v="45214"/>
    <s v="Suresh"/>
    <x v="3"/>
    <x v="1"/>
    <n v="58845"/>
    <n v="41549"/>
    <n v="17296"/>
    <x v="0"/>
    <x v="1"/>
  </r>
  <r>
    <n v="1184"/>
    <n v="45311"/>
    <s v="Vikas"/>
    <x v="2"/>
    <x v="4"/>
    <n v="45953"/>
    <n v="32419"/>
    <n v="13534"/>
    <x v="1"/>
    <x v="0"/>
  </r>
  <r>
    <n v="1185"/>
    <n v="45035"/>
    <s v="Neha"/>
    <x v="1"/>
    <x v="0"/>
    <n v="19184"/>
    <n v="13525"/>
    <n v="5659"/>
    <x v="0"/>
    <x v="11"/>
  </r>
  <r>
    <n v="1186"/>
    <n v="44985"/>
    <s v="Rohit"/>
    <x v="0"/>
    <x v="3"/>
    <n v="78526"/>
    <n v="70073"/>
    <n v="8453"/>
    <x v="0"/>
    <x v="3"/>
  </r>
  <r>
    <n v="1187"/>
    <n v="45241"/>
    <s v="Suresh"/>
    <x v="2"/>
    <x v="2"/>
    <n v="40054"/>
    <n v="24380"/>
    <n v="15674"/>
    <x v="0"/>
    <x v="2"/>
  </r>
  <r>
    <n v="1188"/>
    <n v="45317"/>
    <s v="Rohit"/>
    <x v="3"/>
    <x v="4"/>
    <n v="5800"/>
    <n v="3795"/>
    <n v="2005"/>
    <x v="1"/>
    <x v="0"/>
  </r>
  <r>
    <n v="1189"/>
    <n v="45263"/>
    <s v="Vikas"/>
    <x v="2"/>
    <x v="0"/>
    <n v="9018"/>
    <n v="5659"/>
    <n v="3359"/>
    <x v="0"/>
    <x v="5"/>
  </r>
  <r>
    <n v="1190"/>
    <n v="45119"/>
    <s v="Vikas"/>
    <x v="1"/>
    <x v="4"/>
    <n v="25631"/>
    <n v="18224"/>
    <n v="7407"/>
    <x v="0"/>
    <x v="10"/>
  </r>
  <r>
    <n v="1191"/>
    <n v="45324"/>
    <s v="Kiran"/>
    <x v="2"/>
    <x v="1"/>
    <n v="25392"/>
    <n v="16434"/>
    <n v="8958"/>
    <x v="1"/>
    <x v="3"/>
  </r>
  <r>
    <n v="1192"/>
    <n v="45272"/>
    <s v="Aman"/>
    <x v="3"/>
    <x v="3"/>
    <n v="60576"/>
    <n v="45171"/>
    <n v="15405"/>
    <x v="0"/>
    <x v="5"/>
  </r>
  <r>
    <n v="1193"/>
    <n v="45066"/>
    <s v="Priya"/>
    <x v="2"/>
    <x v="4"/>
    <n v="61349"/>
    <n v="38850"/>
    <n v="22499"/>
    <x v="0"/>
    <x v="8"/>
  </r>
  <r>
    <n v="1194"/>
    <n v="45230"/>
    <s v="Pooja"/>
    <x v="3"/>
    <x v="1"/>
    <n v="33903"/>
    <n v="24361"/>
    <n v="9542"/>
    <x v="0"/>
    <x v="1"/>
  </r>
  <r>
    <n v="1195"/>
    <n v="44930"/>
    <s v="Priya"/>
    <x v="3"/>
    <x v="0"/>
    <n v="22987"/>
    <n v="19061"/>
    <n v="3926"/>
    <x v="0"/>
    <x v="0"/>
  </r>
  <r>
    <n v="1196"/>
    <n v="44988"/>
    <s v="Rahul"/>
    <x v="1"/>
    <x v="3"/>
    <n v="28028"/>
    <n v="17903"/>
    <n v="10125"/>
    <x v="0"/>
    <x v="6"/>
  </r>
  <r>
    <n v="1197"/>
    <n v="45044"/>
    <s v="Suresh"/>
    <x v="3"/>
    <x v="1"/>
    <n v="57044"/>
    <n v="48973"/>
    <n v="8071"/>
    <x v="0"/>
    <x v="11"/>
  </r>
  <r>
    <n v="1199"/>
    <n v="45290"/>
    <s v="Vikas"/>
    <x v="3"/>
    <x v="1"/>
    <n v="58088"/>
    <n v="35216"/>
    <n v="22872"/>
    <x v="0"/>
    <x v="5"/>
  </r>
  <r>
    <n v="1200"/>
    <n v="45337"/>
    <s v="Kiran"/>
    <x v="1"/>
    <x v="4"/>
    <n v="16551"/>
    <n v="12099"/>
    <n v="4452"/>
    <x v="1"/>
    <x v="3"/>
  </r>
  <r>
    <n v="1201"/>
    <n v="45150"/>
    <s v="Kiran"/>
    <x v="1"/>
    <x v="2"/>
    <n v="15308"/>
    <n v="11002"/>
    <n v="4306"/>
    <x v="0"/>
    <x v="4"/>
  </r>
  <r>
    <n v="1202"/>
    <n v="45100"/>
    <s v="Priya"/>
    <x v="3"/>
    <x v="0"/>
    <n v="15011"/>
    <n v="11305"/>
    <n v="3706"/>
    <x v="0"/>
    <x v="9"/>
  </r>
  <r>
    <n v="1203"/>
    <n v="45188"/>
    <s v="Priya"/>
    <x v="3"/>
    <x v="4"/>
    <n v="24358"/>
    <n v="16341"/>
    <n v="8017"/>
    <x v="0"/>
    <x v="7"/>
  </r>
  <r>
    <n v="1204"/>
    <n v="45028"/>
    <s v="Neha"/>
    <x v="0"/>
    <x v="1"/>
    <n v="28218"/>
    <n v="24983"/>
    <n v="3235"/>
    <x v="0"/>
    <x v="11"/>
  </r>
  <r>
    <n v="1205"/>
    <n v="45164"/>
    <s v="Kiran"/>
    <x v="1"/>
    <x v="2"/>
    <n v="47363"/>
    <n v="40697"/>
    <n v="6666"/>
    <x v="0"/>
    <x v="4"/>
  </r>
  <r>
    <n v="1206"/>
    <n v="45004"/>
    <s v="Pooja"/>
    <x v="2"/>
    <x v="3"/>
    <n v="62961"/>
    <n v="49702"/>
    <n v="13259"/>
    <x v="0"/>
    <x v="6"/>
  </r>
  <r>
    <n v="1207"/>
    <n v="45229"/>
    <s v="Rahul"/>
    <x v="3"/>
    <x v="2"/>
    <n v="14724"/>
    <n v="10205"/>
    <n v="4519"/>
    <x v="0"/>
    <x v="1"/>
  </r>
  <r>
    <n v="1208"/>
    <n v="44956"/>
    <s v="Anjali"/>
    <x v="3"/>
    <x v="1"/>
    <n v="16835"/>
    <n v="13207"/>
    <n v="3628"/>
    <x v="0"/>
    <x v="0"/>
  </r>
  <r>
    <n v="1209"/>
    <n v="45163"/>
    <s v="Kiran"/>
    <x v="2"/>
    <x v="3"/>
    <n v="79928"/>
    <n v="63586"/>
    <n v="16342"/>
    <x v="0"/>
    <x v="4"/>
  </r>
  <r>
    <n v="1210"/>
    <n v="45170"/>
    <s v="Suresh"/>
    <x v="0"/>
    <x v="1"/>
    <n v="64050"/>
    <n v="40418"/>
    <n v="23632"/>
    <x v="0"/>
    <x v="7"/>
  </r>
  <r>
    <n v="1211"/>
    <n v="45102"/>
    <s v="Aman"/>
    <x v="0"/>
    <x v="1"/>
    <n v="37472"/>
    <n v="30438"/>
    <n v="7034"/>
    <x v="0"/>
    <x v="9"/>
  </r>
  <r>
    <n v="1212"/>
    <n v="45195"/>
    <s v="Suresh"/>
    <x v="0"/>
    <x v="4"/>
    <n v="53870"/>
    <n v="47156"/>
    <n v="6714"/>
    <x v="0"/>
    <x v="7"/>
  </r>
  <r>
    <n v="1213"/>
    <n v="45323"/>
    <s v="Anjali"/>
    <x v="2"/>
    <x v="4"/>
    <n v="13639"/>
    <n v="9532"/>
    <n v="4107"/>
    <x v="1"/>
    <x v="3"/>
  </r>
  <r>
    <n v="1214"/>
    <n v="45124"/>
    <s v="Rohit"/>
    <x v="3"/>
    <x v="2"/>
    <n v="24709"/>
    <n v="17296"/>
    <n v="7413"/>
    <x v="0"/>
    <x v="10"/>
  </r>
  <r>
    <n v="1215"/>
    <n v="44999"/>
    <s v="Anjali"/>
    <x v="3"/>
    <x v="3"/>
    <n v="21901"/>
    <n v="17050"/>
    <n v="4851"/>
    <x v="0"/>
    <x v="6"/>
  </r>
  <r>
    <n v="1216"/>
    <n v="45085"/>
    <s v="Suresh"/>
    <x v="1"/>
    <x v="4"/>
    <n v="21750"/>
    <n v="17422"/>
    <n v="4328"/>
    <x v="0"/>
    <x v="9"/>
  </r>
  <r>
    <n v="1217"/>
    <n v="45305"/>
    <s v="Suresh"/>
    <x v="2"/>
    <x v="3"/>
    <n v="71648"/>
    <n v="50766"/>
    <n v="20882"/>
    <x v="1"/>
    <x v="0"/>
  </r>
  <r>
    <n v="1218"/>
    <n v="45019"/>
    <s v="Priya"/>
    <x v="3"/>
    <x v="3"/>
    <n v="30166"/>
    <n v="20149"/>
    <n v="10017"/>
    <x v="0"/>
    <x v="11"/>
  </r>
  <r>
    <n v="1219"/>
    <n v="44966"/>
    <s v="Rohit"/>
    <x v="2"/>
    <x v="2"/>
    <n v="75748"/>
    <n v="64426"/>
    <n v="11322"/>
    <x v="0"/>
    <x v="3"/>
  </r>
  <r>
    <n v="1220"/>
    <n v="44946"/>
    <s v="Anjali"/>
    <x v="0"/>
    <x v="2"/>
    <n v="54377"/>
    <n v="35142"/>
    <n v="19235"/>
    <x v="0"/>
    <x v="0"/>
  </r>
  <r>
    <n v="1221"/>
    <n v="45281"/>
    <s v="Kiran"/>
    <x v="0"/>
    <x v="3"/>
    <n v="10726"/>
    <n v="7757"/>
    <n v="2969"/>
    <x v="0"/>
    <x v="5"/>
  </r>
  <r>
    <n v="1222"/>
    <n v="45048"/>
    <s v="Pooja"/>
    <x v="3"/>
    <x v="3"/>
    <n v="35671"/>
    <n v="27117"/>
    <n v="8554"/>
    <x v="0"/>
    <x v="8"/>
  </r>
  <r>
    <n v="1223"/>
    <n v="45341"/>
    <s v="Pooja"/>
    <x v="0"/>
    <x v="4"/>
    <n v="79766"/>
    <n v="71417"/>
    <n v="8349"/>
    <x v="1"/>
    <x v="3"/>
  </r>
  <r>
    <n v="1224"/>
    <n v="45071"/>
    <s v="Vikas"/>
    <x v="1"/>
    <x v="0"/>
    <n v="31174"/>
    <n v="26197"/>
    <n v="4977"/>
    <x v="0"/>
    <x v="8"/>
  </r>
  <r>
    <n v="1225"/>
    <n v="45055"/>
    <s v="Rahul"/>
    <x v="1"/>
    <x v="4"/>
    <n v="77684"/>
    <n v="68384"/>
    <n v="9300"/>
    <x v="0"/>
    <x v="8"/>
  </r>
  <r>
    <n v="1226"/>
    <n v="45191"/>
    <s v="Aman"/>
    <x v="3"/>
    <x v="1"/>
    <n v="26012"/>
    <n v="17735"/>
    <n v="8277"/>
    <x v="0"/>
    <x v="7"/>
  </r>
  <r>
    <n v="1227"/>
    <n v="45002"/>
    <s v="Vikas"/>
    <x v="2"/>
    <x v="0"/>
    <n v="64130"/>
    <n v="55497"/>
    <n v="8633"/>
    <x v="0"/>
    <x v="6"/>
  </r>
  <r>
    <n v="1228"/>
    <n v="45139"/>
    <s v="Rahul"/>
    <x v="1"/>
    <x v="2"/>
    <n v="54015"/>
    <n v="36229"/>
    <n v="17786"/>
    <x v="0"/>
    <x v="4"/>
  </r>
  <r>
    <n v="1229"/>
    <n v="45118"/>
    <s v="Priya"/>
    <x v="2"/>
    <x v="4"/>
    <n v="17987"/>
    <n v="15320"/>
    <n v="2667"/>
    <x v="0"/>
    <x v="10"/>
  </r>
  <r>
    <n v="1230"/>
    <n v="45332"/>
    <s v="Neha"/>
    <x v="0"/>
    <x v="1"/>
    <n v="42601"/>
    <n v="37285"/>
    <n v="5316"/>
    <x v="1"/>
    <x v="3"/>
  </r>
  <r>
    <n v="1231"/>
    <n v="45352"/>
    <s v="Neha"/>
    <x v="1"/>
    <x v="3"/>
    <n v="5688"/>
    <n v="4958"/>
    <n v="730"/>
    <x v="1"/>
    <x v="6"/>
  </r>
  <r>
    <n v="1233"/>
    <n v="45048"/>
    <s v="Rohit"/>
    <x v="2"/>
    <x v="1"/>
    <n v="36252"/>
    <n v="26317"/>
    <n v="9935"/>
    <x v="0"/>
    <x v="8"/>
  </r>
  <r>
    <n v="1234"/>
    <n v="45161"/>
    <s v="Aman"/>
    <x v="2"/>
    <x v="3"/>
    <n v="75261"/>
    <n v="45527"/>
    <n v="29734"/>
    <x v="0"/>
    <x v="4"/>
  </r>
  <r>
    <n v="1235"/>
    <n v="45050"/>
    <s v="Neha"/>
    <x v="3"/>
    <x v="3"/>
    <n v="5205"/>
    <n v="4083"/>
    <n v="1122"/>
    <x v="0"/>
    <x v="8"/>
  </r>
  <r>
    <n v="1236"/>
    <n v="45140"/>
    <s v="Neha"/>
    <x v="2"/>
    <x v="2"/>
    <n v="52265"/>
    <n v="32420"/>
    <n v="19845"/>
    <x v="0"/>
    <x v="4"/>
  </r>
  <r>
    <n v="1237"/>
    <n v="45186"/>
    <s v="Suresh"/>
    <x v="2"/>
    <x v="3"/>
    <n v="66621"/>
    <n v="40842"/>
    <n v="25779"/>
    <x v="0"/>
    <x v="7"/>
  </r>
  <r>
    <n v="1238"/>
    <n v="45118"/>
    <s v="Rohit"/>
    <x v="2"/>
    <x v="4"/>
    <n v="13855"/>
    <n v="9746"/>
    <n v="4109"/>
    <x v="0"/>
    <x v="10"/>
  </r>
  <r>
    <n v="1239"/>
    <n v="45248"/>
    <s v="Aman"/>
    <x v="3"/>
    <x v="0"/>
    <n v="10811"/>
    <n v="7629"/>
    <n v="3182"/>
    <x v="0"/>
    <x v="2"/>
  </r>
  <r>
    <n v="1240"/>
    <n v="45256"/>
    <s v="Neha"/>
    <x v="1"/>
    <x v="3"/>
    <n v="28891"/>
    <n v="24368"/>
    <n v="4523"/>
    <x v="0"/>
    <x v="2"/>
  </r>
  <r>
    <n v="1241"/>
    <n v="45324"/>
    <s v="Pooja"/>
    <x v="2"/>
    <x v="4"/>
    <n v="31422"/>
    <n v="19266"/>
    <n v="12156"/>
    <x v="1"/>
    <x v="3"/>
  </r>
  <r>
    <n v="1242"/>
    <n v="44948"/>
    <s v="Anjali"/>
    <x v="3"/>
    <x v="2"/>
    <n v="57196"/>
    <n v="51289"/>
    <n v="5907"/>
    <x v="0"/>
    <x v="0"/>
  </r>
  <r>
    <n v="1243"/>
    <n v="45056"/>
    <s v="Rahul"/>
    <x v="0"/>
    <x v="4"/>
    <n v="51789"/>
    <n v="44468"/>
    <n v="7321"/>
    <x v="0"/>
    <x v="8"/>
  </r>
  <r>
    <n v="1245"/>
    <n v="45152"/>
    <s v="Vikas"/>
    <x v="3"/>
    <x v="0"/>
    <n v="70038"/>
    <n v="56564"/>
    <n v="13474"/>
    <x v="0"/>
    <x v="4"/>
  </r>
  <r>
    <n v="1246"/>
    <n v="45335"/>
    <s v="Suresh"/>
    <x v="3"/>
    <x v="1"/>
    <n v="60640"/>
    <n v="37819"/>
    <n v="22821"/>
    <x v="1"/>
    <x v="3"/>
  </r>
  <r>
    <n v="1247"/>
    <n v="45348"/>
    <s v="Neha"/>
    <x v="3"/>
    <x v="4"/>
    <n v="18447"/>
    <n v="11511"/>
    <n v="6936"/>
    <x v="1"/>
    <x v="3"/>
  </r>
  <r>
    <n v="1248"/>
    <n v="45083"/>
    <s v="Pooja"/>
    <x v="1"/>
    <x v="0"/>
    <n v="63183"/>
    <n v="44573"/>
    <n v="18610"/>
    <x v="0"/>
    <x v="9"/>
  </r>
  <r>
    <n v="1250"/>
    <n v="45113"/>
    <s v="Suresh"/>
    <x v="0"/>
    <x v="1"/>
    <n v="23714"/>
    <n v="20266"/>
    <n v="3448"/>
    <x v="0"/>
    <x v="10"/>
  </r>
  <r>
    <n v="1251"/>
    <n v="45151"/>
    <s v="Rahul"/>
    <x v="0"/>
    <x v="1"/>
    <n v="35932"/>
    <n v="29951"/>
    <n v="5981"/>
    <x v="0"/>
    <x v="4"/>
  </r>
  <r>
    <n v="1252"/>
    <n v="45123"/>
    <s v="Kiran"/>
    <x v="2"/>
    <x v="2"/>
    <n v="25111"/>
    <n v="20182"/>
    <n v="4929"/>
    <x v="0"/>
    <x v="10"/>
  </r>
  <r>
    <n v="1253"/>
    <n v="45117"/>
    <s v="Pooja"/>
    <x v="2"/>
    <x v="2"/>
    <n v="23047"/>
    <n v="17488"/>
    <n v="5559"/>
    <x v="0"/>
    <x v="10"/>
  </r>
  <r>
    <n v="1254"/>
    <n v="45259"/>
    <s v="Rohit"/>
    <x v="0"/>
    <x v="1"/>
    <n v="8396"/>
    <n v="6890"/>
    <n v="1506"/>
    <x v="0"/>
    <x v="2"/>
  </r>
  <r>
    <n v="1255"/>
    <n v="45125"/>
    <s v="Suresh"/>
    <x v="2"/>
    <x v="4"/>
    <n v="39116"/>
    <n v="31731"/>
    <n v="7385"/>
    <x v="0"/>
    <x v="10"/>
  </r>
  <r>
    <n v="1256"/>
    <n v="45240"/>
    <s v="Rohit"/>
    <x v="1"/>
    <x v="0"/>
    <n v="21074"/>
    <n v="13502"/>
    <n v="7572"/>
    <x v="0"/>
    <x v="2"/>
  </r>
  <r>
    <n v="1257"/>
    <n v="45015"/>
    <s v="Pooja"/>
    <x v="2"/>
    <x v="4"/>
    <n v="50537"/>
    <n v="41079"/>
    <n v="9458"/>
    <x v="0"/>
    <x v="6"/>
  </r>
  <r>
    <n v="1258"/>
    <n v="45075"/>
    <s v="Rohit"/>
    <x v="0"/>
    <x v="0"/>
    <n v="52381"/>
    <n v="39423"/>
    <n v="12958"/>
    <x v="0"/>
    <x v="8"/>
  </r>
  <r>
    <n v="1259"/>
    <n v="45029"/>
    <s v="Neha"/>
    <x v="0"/>
    <x v="3"/>
    <n v="8445"/>
    <n v="5981"/>
    <n v="2464"/>
    <x v="0"/>
    <x v="11"/>
  </r>
  <r>
    <n v="1260"/>
    <n v="45166"/>
    <s v="Suresh"/>
    <x v="0"/>
    <x v="2"/>
    <n v="16300"/>
    <n v="10101"/>
    <n v="6199"/>
    <x v="0"/>
    <x v="4"/>
  </r>
  <r>
    <n v="1261"/>
    <n v="45294"/>
    <s v="Pooja"/>
    <x v="1"/>
    <x v="3"/>
    <n v="14666"/>
    <n v="9351"/>
    <n v="5315"/>
    <x v="1"/>
    <x v="0"/>
  </r>
  <r>
    <n v="1262"/>
    <n v="44964"/>
    <s v="Pooja"/>
    <x v="1"/>
    <x v="2"/>
    <n v="50156"/>
    <n v="32024"/>
    <n v="18132"/>
    <x v="0"/>
    <x v="3"/>
  </r>
  <r>
    <n v="1263"/>
    <n v="45209"/>
    <s v="Kiran"/>
    <x v="0"/>
    <x v="0"/>
    <n v="61704"/>
    <n v="46331"/>
    <n v="15373"/>
    <x v="0"/>
    <x v="1"/>
  </r>
  <r>
    <n v="1264"/>
    <n v="45352"/>
    <s v="Aman"/>
    <x v="0"/>
    <x v="4"/>
    <n v="26581"/>
    <n v="17240"/>
    <n v="9341"/>
    <x v="1"/>
    <x v="6"/>
  </r>
  <r>
    <n v="1265"/>
    <n v="45042"/>
    <s v="Anjali"/>
    <x v="3"/>
    <x v="1"/>
    <n v="37847"/>
    <n v="24937"/>
    <n v="12910"/>
    <x v="0"/>
    <x v="11"/>
  </r>
  <r>
    <n v="1266"/>
    <n v="45067"/>
    <s v="Neha"/>
    <x v="3"/>
    <x v="2"/>
    <n v="74924"/>
    <n v="47054"/>
    <n v="27870"/>
    <x v="0"/>
    <x v="8"/>
  </r>
  <r>
    <n v="1267"/>
    <n v="45230"/>
    <s v="Kiran"/>
    <x v="0"/>
    <x v="0"/>
    <n v="49252"/>
    <n v="42000"/>
    <n v="7252"/>
    <x v="0"/>
    <x v="1"/>
  </r>
  <r>
    <n v="1268"/>
    <n v="45349"/>
    <s v="Rahul"/>
    <x v="2"/>
    <x v="1"/>
    <n v="39688"/>
    <n v="31565"/>
    <n v="8123"/>
    <x v="1"/>
    <x v="3"/>
  </r>
  <r>
    <n v="1269"/>
    <n v="45140"/>
    <s v="Kiran"/>
    <x v="2"/>
    <x v="3"/>
    <n v="76509"/>
    <n v="52554"/>
    <n v="23955"/>
    <x v="0"/>
    <x v="4"/>
  </r>
  <r>
    <n v="1270"/>
    <n v="45174"/>
    <s v="Priya"/>
    <x v="1"/>
    <x v="4"/>
    <n v="64446"/>
    <n v="40078"/>
    <n v="24368"/>
    <x v="0"/>
    <x v="7"/>
  </r>
  <r>
    <n v="1271"/>
    <n v="45152"/>
    <s v="Vikas"/>
    <x v="1"/>
    <x v="3"/>
    <n v="31741"/>
    <n v="22284"/>
    <n v="9457"/>
    <x v="0"/>
    <x v="4"/>
  </r>
  <r>
    <n v="1272"/>
    <n v="45368"/>
    <s v="Anjali"/>
    <x v="3"/>
    <x v="3"/>
    <n v="22139"/>
    <n v="18335"/>
    <n v="3804"/>
    <x v="1"/>
    <x v="6"/>
  </r>
  <r>
    <n v="1273"/>
    <n v="44981"/>
    <s v="Anjali"/>
    <x v="0"/>
    <x v="3"/>
    <n v="21059"/>
    <n v="14325"/>
    <n v="6734"/>
    <x v="0"/>
    <x v="3"/>
  </r>
  <r>
    <n v="1274"/>
    <n v="44976"/>
    <s v="Rahul"/>
    <x v="3"/>
    <x v="3"/>
    <n v="59805"/>
    <n v="40337"/>
    <n v="19468"/>
    <x v="0"/>
    <x v="3"/>
  </r>
  <r>
    <n v="1275"/>
    <n v="45008"/>
    <s v="Anjali"/>
    <x v="3"/>
    <x v="0"/>
    <n v="25885"/>
    <n v="19400"/>
    <n v="6485"/>
    <x v="0"/>
    <x v="6"/>
  </r>
  <r>
    <n v="1276"/>
    <n v="45182"/>
    <s v="Rohit"/>
    <x v="1"/>
    <x v="1"/>
    <n v="16802"/>
    <n v="14845"/>
    <n v="1957"/>
    <x v="0"/>
    <x v="7"/>
  </r>
  <r>
    <n v="1277"/>
    <n v="45050"/>
    <s v="Priya"/>
    <x v="3"/>
    <x v="1"/>
    <n v="11624"/>
    <n v="7955"/>
    <n v="3669"/>
    <x v="0"/>
    <x v="8"/>
  </r>
  <r>
    <n v="1278"/>
    <n v="45358"/>
    <s v="Pooja"/>
    <x v="3"/>
    <x v="2"/>
    <n v="6071"/>
    <n v="5185"/>
    <n v="886"/>
    <x v="1"/>
    <x v="6"/>
  </r>
  <r>
    <n v="1279"/>
    <n v="45062"/>
    <s v="Anjali"/>
    <x v="1"/>
    <x v="4"/>
    <n v="10930"/>
    <n v="7871"/>
    <n v="3059"/>
    <x v="0"/>
    <x v="8"/>
  </r>
  <r>
    <n v="1280"/>
    <n v="45026"/>
    <s v="Anjali"/>
    <x v="3"/>
    <x v="1"/>
    <n v="55639"/>
    <n v="41800"/>
    <n v="13839"/>
    <x v="0"/>
    <x v="11"/>
  </r>
  <r>
    <n v="1281"/>
    <n v="45070"/>
    <s v="Kiran"/>
    <x v="2"/>
    <x v="0"/>
    <n v="17672"/>
    <n v="12691"/>
    <n v="4981"/>
    <x v="0"/>
    <x v="8"/>
  </r>
  <r>
    <n v="1282"/>
    <n v="45100"/>
    <s v="Suresh"/>
    <x v="3"/>
    <x v="0"/>
    <n v="31090"/>
    <n v="24273"/>
    <n v="6817"/>
    <x v="0"/>
    <x v="9"/>
  </r>
  <r>
    <n v="1283"/>
    <n v="44947"/>
    <s v="Rahul"/>
    <x v="2"/>
    <x v="0"/>
    <n v="48652"/>
    <n v="40925"/>
    <n v="7727"/>
    <x v="0"/>
    <x v="0"/>
  </r>
  <r>
    <n v="1284"/>
    <n v="45003"/>
    <s v="Kiran"/>
    <x v="0"/>
    <x v="4"/>
    <n v="46750"/>
    <n v="30329"/>
    <n v="16421"/>
    <x v="0"/>
    <x v="6"/>
  </r>
  <r>
    <n v="1285"/>
    <n v="45305"/>
    <s v="Rohit"/>
    <x v="3"/>
    <x v="2"/>
    <n v="71809"/>
    <n v="54553"/>
    <n v="17256"/>
    <x v="1"/>
    <x v="0"/>
  </r>
  <r>
    <n v="1286"/>
    <n v="45080"/>
    <s v="Pooja"/>
    <x v="2"/>
    <x v="4"/>
    <n v="48416"/>
    <n v="38836"/>
    <n v="9580"/>
    <x v="0"/>
    <x v="9"/>
  </r>
  <r>
    <n v="1287"/>
    <n v="45225"/>
    <s v="Rohit"/>
    <x v="2"/>
    <x v="2"/>
    <n v="67205"/>
    <n v="45676"/>
    <n v="21529"/>
    <x v="0"/>
    <x v="1"/>
  </r>
  <r>
    <n v="1288"/>
    <n v="45324"/>
    <s v="Kiran"/>
    <x v="0"/>
    <x v="1"/>
    <n v="67973"/>
    <n v="44260"/>
    <n v="23713"/>
    <x v="1"/>
    <x v="3"/>
  </r>
  <r>
    <n v="1289"/>
    <n v="45244"/>
    <s v="Vikas"/>
    <x v="0"/>
    <x v="0"/>
    <n v="9138"/>
    <n v="7052"/>
    <n v="2086"/>
    <x v="0"/>
    <x v="2"/>
  </r>
  <r>
    <n v="1290"/>
    <n v="45024"/>
    <s v="Rahul"/>
    <x v="1"/>
    <x v="4"/>
    <n v="59890"/>
    <n v="38654"/>
    <n v="21236"/>
    <x v="0"/>
    <x v="11"/>
  </r>
  <r>
    <n v="1291"/>
    <n v="45137"/>
    <s v="Suresh"/>
    <x v="1"/>
    <x v="1"/>
    <n v="23098"/>
    <n v="17452"/>
    <n v="5646"/>
    <x v="0"/>
    <x v="10"/>
  </r>
  <r>
    <n v="1292"/>
    <n v="45266"/>
    <s v="Pooja"/>
    <x v="1"/>
    <x v="4"/>
    <n v="27699"/>
    <n v="20439"/>
    <n v="7260"/>
    <x v="0"/>
    <x v="5"/>
  </r>
  <r>
    <n v="1293"/>
    <n v="45206"/>
    <s v="Anjali"/>
    <x v="3"/>
    <x v="2"/>
    <n v="68462"/>
    <n v="45026"/>
    <n v="23436"/>
    <x v="0"/>
    <x v="1"/>
  </r>
  <r>
    <n v="1294"/>
    <n v="45212"/>
    <s v="Rohit"/>
    <x v="0"/>
    <x v="4"/>
    <n v="42880"/>
    <n v="34795"/>
    <n v="8085"/>
    <x v="0"/>
    <x v="1"/>
  </r>
  <r>
    <n v="1295"/>
    <n v="45177"/>
    <s v="Anjali"/>
    <x v="1"/>
    <x v="4"/>
    <n v="78464"/>
    <n v="69056"/>
    <n v="9408"/>
    <x v="0"/>
    <x v="7"/>
  </r>
  <r>
    <n v="1296"/>
    <n v="45067"/>
    <s v="Rohit"/>
    <x v="2"/>
    <x v="2"/>
    <n v="76197"/>
    <n v="54397"/>
    <n v="21800"/>
    <x v="0"/>
    <x v="8"/>
  </r>
  <r>
    <n v="1297"/>
    <n v="45346"/>
    <s v="Anjali"/>
    <x v="0"/>
    <x v="4"/>
    <n v="10513"/>
    <n v="7214"/>
    <n v="3299"/>
    <x v="1"/>
    <x v="3"/>
  </r>
  <r>
    <n v="1298"/>
    <n v="45104"/>
    <s v="Pooja"/>
    <x v="3"/>
    <x v="3"/>
    <n v="33047"/>
    <n v="21831"/>
    <n v="11216"/>
    <x v="0"/>
    <x v="9"/>
  </r>
  <r>
    <n v="1299"/>
    <n v="45214"/>
    <s v="Rohit"/>
    <x v="0"/>
    <x v="1"/>
    <n v="36363"/>
    <n v="24462"/>
    <n v="11901"/>
    <x v="0"/>
    <x v="1"/>
  </r>
  <r>
    <n v="1300"/>
    <n v="45198"/>
    <s v="Priya"/>
    <x v="0"/>
    <x v="1"/>
    <n v="18133"/>
    <n v="13128"/>
    <n v="5005"/>
    <x v="0"/>
    <x v="7"/>
  </r>
  <r>
    <n v="1301"/>
    <n v="44978"/>
    <s v="Neha"/>
    <x v="2"/>
    <x v="2"/>
    <n v="25701"/>
    <n v="18557"/>
    <n v="7144"/>
    <x v="0"/>
    <x v="3"/>
  </r>
  <r>
    <n v="1302"/>
    <n v="45376"/>
    <s v="Pooja"/>
    <x v="1"/>
    <x v="0"/>
    <n v="42649"/>
    <n v="29698"/>
    <n v="12951"/>
    <x v="1"/>
    <x v="6"/>
  </r>
  <r>
    <n v="1303"/>
    <n v="45320"/>
    <s v="Aman"/>
    <x v="0"/>
    <x v="2"/>
    <n v="9888"/>
    <n v="8641"/>
    <n v="1247"/>
    <x v="1"/>
    <x v="0"/>
  </r>
  <r>
    <n v="1304"/>
    <n v="45355"/>
    <s v="Neha"/>
    <x v="2"/>
    <x v="3"/>
    <n v="69930"/>
    <n v="45866"/>
    <n v="24064"/>
    <x v="1"/>
    <x v="6"/>
  </r>
  <r>
    <n v="1305"/>
    <n v="45373"/>
    <s v="Rohit"/>
    <x v="2"/>
    <x v="1"/>
    <n v="44110"/>
    <n v="33981"/>
    <n v="10129"/>
    <x v="1"/>
    <x v="6"/>
  </r>
  <r>
    <n v="1306"/>
    <n v="45098"/>
    <s v="Rohit"/>
    <x v="1"/>
    <x v="2"/>
    <n v="73723"/>
    <n v="55157"/>
    <n v="18566"/>
    <x v="0"/>
    <x v="9"/>
  </r>
  <r>
    <n v="1307"/>
    <n v="45362"/>
    <s v="Suresh"/>
    <x v="1"/>
    <x v="4"/>
    <n v="30272"/>
    <n v="25508"/>
    <n v="4764"/>
    <x v="1"/>
    <x v="6"/>
  </r>
  <r>
    <n v="1308"/>
    <n v="45301"/>
    <s v="Pooja"/>
    <x v="3"/>
    <x v="0"/>
    <n v="6846"/>
    <n v="5620"/>
    <n v="1226"/>
    <x v="1"/>
    <x v="0"/>
  </r>
  <r>
    <n v="1309"/>
    <n v="45217"/>
    <s v="Priya"/>
    <x v="0"/>
    <x v="2"/>
    <n v="58148"/>
    <n v="49315"/>
    <n v="8833"/>
    <x v="0"/>
    <x v="1"/>
  </r>
  <r>
    <n v="1310"/>
    <n v="44971"/>
    <s v="Vikas"/>
    <x v="2"/>
    <x v="0"/>
    <n v="23430"/>
    <n v="17414"/>
    <n v="6016"/>
    <x v="0"/>
    <x v="3"/>
  </r>
  <r>
    <n v="1311"/>
    <n v="44930"/>
    <s v="Rohit"/>
    <x v="1"/>
    <x v="0"/>
    <n v="63554"/>
    <n v="52503"/>
    <n v="11051"/>
    <x v="0"/>
    <x v="0"/>
  </r>
  <r>
    <n v="1312"/>
    <n v="45081"/>
    <s v="Kiran"/>
    <x v="2"/>
    <x v="4"/>
    <n v="52127"/>
    <n v="42109"/>
    <n v="10018"/>
    <x v="0"/>
    <x v="9"/>
  </r>
  <r>
    <n v="1313"/>
    <n v="44987"/>
    <s v="Pooja"/>
    <x v="3"/>
    <x v="0"/>
    <n v="58138"/>
    <n v="46848"/>
    <n v="11290"/>
    <x v="0"/>
    <x v="6"/>
  </r>
  <r>
    <n v="1314"/>
    <n v="45287"/>
    <s v="Rohit"/>
    <x v="2"/>
    <x v="4"/>
    <n v="53174"/>
    <n v="41709"/>
    <n v="11465"/>
    <x v="0"/>
    <x v="5"/>
  </r>
  <r>
    <n v="1315"/>
    <n v="44995"/>
    <s v="Pooja"/>
    <x v="0"/>
    <x v="3"/>
    <n v="53971"/>
    <n v="39115"/>
    <n v="14856"/>
    <x v="0"/>
    <x v="6"/>
  </r>
  <r>
    <n v="1316"/>
    <n v="45168"/>
    <s v="Suresh"/>
    <x v="0"/>
    <x v="0"/>
    <n v="15730"/>
    <n v="11917"/>
    <n v="3813"/>
    <x v="0"/>
    <x v="4"/>
  </r>
  <r>
    <n v="1317"/>
    <n v="45112"/>
    <s v="Aman"/>
    <x v="2"/>
    <x v="1"/>
    <n v="76781"/>
    <n v="66865"/>
    <n v="9916"/>
    <x v="0"/>
    <x v="10"/>
  </r>
  <r>
    <n v="1318"/>
    <n v="45201"/>
    <s v="Neha"/>
    <x v="0"/>
    <x v="4"/>
    <n v="73202"/>
    <n v="53624"/>
    <n v="19578"/>
    <x v="0"/>
    <x v="1"/>
  </r>
  <r>
    <n v="1319"/>
    <n v="45294"/>
    <s v="Kiran"/>
    <x v="1"/>
    <x v="1"/>
    <n v="71895"/>
    <n v="52745"/>
    <n v="19150"/>
    <x v="1"/>
    <x v="0"/>
  </r>
  <r>
    <n v="1320"/>
    <n v="44994"/>
    <s v="Suresh"/>
    <x v="1"/>
    <x v="3"/>
    <n v="78912"/>
    <n v="48714"/>
    <n v="30198"/>
    <x v="0"/>
    <x v="6"/>
  </r>
  <r>
    <n v="1321"/>
    <n v="45340"/>
    <s v="Rohit"/>
    <x v="2"/>
    <x v="3"/>
    <n v="38352"/>
    <n v="32404"/>
    <n v="5948"/>
    <x v="1"/>
    <x v="3"/>
  </r>
  <r>
    <n v="1322"/>
    <n v="45223"/>
    <s v="Aman"/>
    <x v="2"/>
    <x v="3"/>
    <n v="50158"/>
    <n v="40633"/>
    <n v="9525"/>
    <x v="0"/>
    <x v="1"/>
  </r>
  <r>
    <n v="1323"/>
    <n v="44957"/>
    <s v="Aman"/>
    <x v="1"/>
    <x v="1"/>
    <n v="42629"/>
    <n v="30806"/>
    <n v="11823"/>
    <x v="0"/>
    <x v="0"/>
  </r>
  <r>
    <n v="1324"/>
    <n v="45319"/>
    <s v="Vikas"/>
    <x v="3"/>
    <x v="3"/>
    <n v="63790"/>
    <n v="54915"/>
    <n v="8875"/>
    <x v="1"/>
    <x v="0"/>
  </r>
  <r>
    <n v="1325"/>
    <n v="45119"/>
    <s v="Aman"/>
    <x v="0"/>
    <x v="4"/>
    <n v="20549"/>
    <n v="13429"/>
    <n v="7120"/>
    <x v="0"/>
    <x v="10"/>
  </r>
  <r>
    <n v="1326"/>
    <n v="45197"/>
    <s v="Neha"/>
    <x v="0"/>
    <x v="1"/>
    <n v="7979"/>
    <n v="7129"/>
    <n v="850"/>
    <x v="0"/>
    <x v="7"/>
  </r>
  <r>
    <n v="1327"/>
    <n v="45295"/>
    <s v="Suresh"/>
    <x v="1"/>
    <x v="2"/>
    <n v="54712"/>
    <n v="46341"/>
    <n v="8371"/>
    <x v="1"/>
    <x v="0"/>
  </r>
  <r>
    <n v="1328"/>
    <n v="45104"/>
    <s v="Neha"/>
    <x v="3"/>
    <x v="0"/>
    <n v="19790"/>
    <n v="12065"/>
    <n v="7725"/>
    <x v="0"/>
    <x v="9"/>
  </r>
  <r>
    <n v="1329"/>
    <n v="45241"/>
    <s v="Rahul"/>
    <x v="0"/>
    <x v="0"/>
    <n v="13819"/>
    <n v="8709"/>
    <n v="5110"/>
    <x v="0"/>
    <x v="2"/>
  </r>
  <r>
    <n v="1331"/>
    <n v="45038"/>
    <s v="Rahul"/>
    <x v="0"/>
    <x v="2"/>
    <n v="42914"/>
    <n v="28763"/>
    <n v="14151"/>
    <x v="0"/>
    <x v="11"/>
  </r>
  <r>
    <n v="1332"/>
    <n v="45221"/>
    <s v="Anjali"/>
    <x v="3"/>
    <x v="0"/>
    <n v="44552"/>
    <n v="38442"/>
    <n v="6110"/>
    <x v="0"/>
    <x v="1"/>
  </r>
  <r>
    <n v="1333"/>
    <n v="45193"/>
    <s v="Priya"/>
    <x v="1"/>
    <x v="4"/>
    <n v="41064"/>
    <n v="25389"/>
    <n v="15675"/>
    <x v="0"/>
    <x v="7"/>
  </r>
  <r>
    <n v="1334"/>
    <n v="45377"/>
    <s v="Neha"/>
    <x v="1"/>
    <x v="2"/>
    <n v="69962"/>
    <n v="42961"/>
    <n v="27001"/>
    <x v="1"/>
    <x v="6"/>
  </r>
  <r>
    <n v="1335"/>
    <n v="45256"/>
    <s v="Vikas"/>
    <x v="3"/>
    <x v="3"/>
    <n v="58511"/>
    <n v="37725"/>
    <n v="20786"/>
    <x v="0"/>
    <x v="2"/>
  </r>
  <r>
    <n v="1336"/>
    <n v="45313"/>
    <s v="Suresh"/>
    <x v="1"/>
    <x v="0"/>
    <n v="34536"/>
    <n v="23837"/>
    <n v="10699"/>
    <x v="1"/>
    <x v="0"/>
  </r>
  <r>
    <n v="1337"/>
    <n v="45339"/>
    <s v="Pooja"/>
    <x v="2"/>
    <x v="2"/>
    <n v="59090"/>
    <n v="52609"/>
    <n v="6481"/>
    <x v="1"/>
    <x v="3"/>
  </r>
  <r>
    <n v="1338"/>
    <n v="44995"/>
    <s v="Vikas"/>
    <x v="0"/>
    <x v="4"/>
    <n v="31651"/>
    <n v="22126"/>
    <n v="9525"/>
    <x v="0"/>
    <x v="6"/>
  </r>
  <r>
    <n v="1339"/>
    <n v="45157"/>
    <s v="Anjali"/>
    <x v="2"/>
    <x v="2"/>
    <n v="29966"/>
    <n v="18442"/>
    <n v="11524"/>
    <x v="0"/>
    <x v="4"/>
  </r>
  <r>
    <n v="1340"/>
    <n v="45236"/>
    <s v="Kiran"/>
    <x v="2"/>
    <x v="1"/>
    <n v="29662"/>
    <n v="24957"/>
    <n v="4705"/>
    <x v="0"/>
    <x v="2"/>
  </r>
  <r>
    <n v="1341"/>
    <n v="45270"/>
    <s v="Suresh"/>
    <x v="0"/>
    <x v="3"/>
    <n v="32379"/>
    <n v="27873"/>
    <n v="4506"/>
    <x v="0"/>
    <x v="5"/>
  </r>
  <r>
    <n v="1342"/>
    <n v="44934"/>
    <s v="Priya"/>
    <x v="0"/>
    <x v="1"/>
    <n v="67773"/>
    <n v="59256"/>
    <n v="8517"/>
    <x v="0"/>
    <x v="0"/>
  </r>
  <r>
    <n v="1343"/>
    <n v="45287"/>
    <s v="Priya"/>
    <x v="1"/>
    <x v="0"/>
    <n v="77362"/>
    <n v="53881"/>
    <n v="23481"/>
    <x v="0"/>
    <x v="5"/>
  </r>
  <r>
    <n v="1344"/>
    <n v="45165"/>
    <s v="Suresh"/>
    <x v="3"/>
    <x v="4"/>
    <n v="39283"/>
    <n v="27808"/>
    <n v="11475"/>
    <x v="0"/>
    <x v="4"/>
  </r>
  <r>
    <n v="1345"/>
    <n v="45165"/>
    <s v="Aman"/>
    <x v="1"/>
    <x v="4"/>
    <n v="31624"/>
    <n v="22491"/>
    <n v="9133"/>
    <x v="0"/>
    <x v="4"/>
  </r>
  <r>
    <n v="1346"/>
    <n v="45215"/>
    <s v="Priya"/>
    <x v="0"/>
    <x v="1"/>
    <n v="39180"/>
    <n v="30011"/>
    <n v="9169"/>
    <x v="0"/>
    <x v="1"/>
  </r>
  <r>
    <n v="1347"/>
    <n v="45295"/>
    <s v="Vikas"/>
    <x v="3"/>
    <x v="0"/>
    <n v="30715"/>
    <n v="21468"/>
    <n v="9247"/>
    <x v="1"/>
    <x v="0"/>
  </r>
  <r>
    <n v="1348"/>
    <n v="45353"/>
    <s v="Priya"/>
    <x v="1"/>
    <x v="2"/>
    <n v="49245"/>
    <n v="33348"/>
    <n v="15897"/>
    <x v="1"/>
    <x v="6"/>
  </r>
  <r>
    <n v="1349"/>
    <n v="45297"/>
    <s v="Pooja"/>
    <x v="1"/>
    <x v="0"/>
    <n v="51160"/>
    <n v="33293"/>
    <n v="17867"/>
    <x v="1"/>
    <x v="0"/>
  </r>
  <r>
    <n v="1350"/>
    <n v="45177"/>
    <s v="Neha"/>
    <x v="2"/>
    <x v="2"/>
    <n v="9433"/>
    <n v="8034"/>
    <n v="1399"/>
    <x v="0"/>
    <x v="7"/>
  </r>
  <r>
    <n v="1351"/>
    <n v="45345"/>
    <s v="Rahul"/>
    <x v="2"/>
    <x v="3"/>
    <n v="23021"/>
    <n v="19631"/>
    <n v="3390"/>
    <x v="1"/>
    <x v="3"/>
  </r>
  <r>
    <n v="1352"/>
    <n v="45289"/>
    <s v="Neha"/>
    <x v="2"/>
    <x v="0"/>
    <n v="71287"/>
    <n v="52524"/>
    <n v="18763"/>
    <x v="0"/>
    <x v="5"/>
  </r>
  <r>
    <n v="1353"/>
    <n v="45253"/>
    <s v="Kiran"/>
    <x v="1"/>
    <x v="3"/>
    <n v="7061"/>
    <n v="4250"/>
    <n v="2811"/>
    <x v="0"/>
    <x v="2"/>
  </r>
  <r>
    <n v="1354"/>
    <n v="44933"/>
    <s v="Rahul"/>
    <x v="3"/>
    <x v="2"/>
    <n v="42576"/>
    <n v="25764"/>
    <n v="16812"/>
    <x v="0"/>
    <x v="0"/>
  </r>
  <r>
    <n v="1355"/>
    <n v="45272"/>
    <s v="Vikas"/>
    <x v="0"/>
    <x v="1"/>
    <n v="17624"/>
    <n v="13346"/>
    <n v="4278"/>
    <x v="0"/>
    <x v="5"/>
  </r>
  <r>
    <n v="1356"/>
    <n v="45244"/>
    <s v="Suresh"/>
    <x v="3"/>
    <x v="4"/>
    <n v="40038"/>
    <n v="33571"/>
    <n v="6467"/>
    <x v="0"/>
    <x v="2"/>
  </r>
  <r>
    <n v="1357"/>
    <n v="45134"/>
    <s v="Pooja"/>
    <x v="0"/>
    <x v="0"/>
    <n v="44318"/>
    <n v="35685"/>
    <n v="8633"/>
    <x v="0"/>
    <x v="10"/>
  </r>
  <r>
    <n v="1358"/>
    <n v="45261"/>
    <s v="Rahul"/>
    <x v="2"/>
    <x v="3"/>
    <n v="54710"/>
    <n v="39016"/>
    <n v="15694"/>
    <x v="0"/>
    <x v="5"/>
  </r>
  <r>
    <n v="1359"/>
    <n v="45253"/>
    <s v="Rahul"/>
    <x v="0"/>
    <x v="1"/>
    <n v="70517"/>
    <n v="60193"/>
    <n v="10324"/>
    <x v="0"/>
    <x v="2"/>
  </r>
  <r>
    <n v="1360"/>
    <n v="45096"/>
    <s v="Kiran"/>
    <x v="2"/>
    <x v="2"/>
    <n v="10577"/>
    <n v="7075"/>
    <n v="3502"/>
    <x v="0"/>
    <x v="9"/>
  </r>
  <r>
    <n v="1361"/>
    <n v="45281"/>
    <s v="Kiran"/>
    <x v="1"/>
    <x v="4"/>
    <n v="11102"/>
    <n v="9739"/>
    <n v="1363"/>
    <x v="0"/>
    <x v="5"/>
  </r>
  <r>
    <n v="1362"/>
    <n v="45070"/>
    <s v="Suresh"/>
    <x v="2"/>
    <x v="0"/>
    <n v="46220"/>
    <n v="27949"/>
    <n v="18271"/>
    <x v="0"/>
    <x v="8"/>
  </r>
  <r>
    <n v="1363"/>
    <n v="45000"/>
    <s v="Vikas"/>
    <x v="2"/>
    <x v="4"/>
    <n v="26292"/>
    <n v="20223"/>
    <n v="6069"/>
    <x v="0"/>
    <x v="6"/>
  </r>
  <r>
    <n v="1364"/>
    <n v="45361"/>
    <s v="Vikas"/>
    <x v="3"/>
    <x v="3"/>
    <n v="23343"/>
    <n v="19541"/>
    <n v="3802"/>
    <x v="1"/>
    <x v="6"/>
  </r>
  <r>
    <n v="1365"/>
    <n v="44967"/>
    <s v="Suresh"/>
    <x v="3"/>
    <x v="1"/>
    <n v="17803"/>
    <n v="13016"/>
    <n v="4787"/>
    <x v="0"/>
    <x v="3"/>
  </r>
  <r>
    <n v="1366"/>
    <n v="45101"/>
    <s v="Kiran"/>
    <x v="1"/>
    <x v="4"/>
    <n v="8883"/>
    <n v="7019"/>
    <n v="1864"/>
    <x v="0"/>
    <x v="9"/>
  </r>
  <r>
    <n v="1367"/>
    <n v="45157"/>
    <s v="Pooja"/>
    <x v="0"/>
    <x v="4"/>
    <n v="77487"/>
    <n v="68370"/>
    <n v="9117"/>
    <x v="0"/>
    <x v="4"/>
  </r>
  <r>
    <n v="1368"/>
    <n v="45275"/>
    <s v="Kiran"/>
    <x v="1"/>
    <x v="1"/>
    <n v="43715"/>
    <n v="36695"/>
    <n v="7020"/>
    <x v="0"/>
    <x v="5"/>
  </r>
  <r>
    <n v="1369"/>
    <n v="44969"/>
    <s v="Rohit"/>
    <x v="0"/>
    <x v="3"/>
    <n v="25221"/>
    <n v="20729"/>
    <n v="4492"/>
    <x v="0"/>
    <x v="3"/>
  </r>
  <r>
    <n v="1370"/>
    <n v="44981"/>
    <s v="Aman"/>
    <x v="2"/>
    <x v="4"/>
    <n v="63292"/>
    <n v="44809"/>
    <n v="18483"/>
    <x v="0"/>
    <x v="3"/>
  </r>
  <r>
    <n v="1371"/>
    <n v="44994"/>
    <s v="Aman"/>
    <x v="0"/>
    <x v="3"/>
    <n v="63830"/>
    <n v="48963"/>
    <n v="14867"/>
    <x v="0"/>
    <x v="6"/>
  </r>
  <r>
    <n v="1372"/>
    <n v="44979"/>
    <s v="Rahul"/>
    <x v="2"/>
    <x v="4"/>
    <n v="77642"/>
    <n v="48752"/>
    <n v="28890"/>
    <x v="0"/>
    <x v="3"/>
  </r>
  <r>
    <n v="1373"/>
    <n v="45093"/>
    <s v="Vikas"/>
    <x v="2"/>
    <x v="4"/>
    <n v="59238"/>
    <n v="42434"/>
    <n v="16804"/>
    <x v="0"/>
    <x v="9"/>
  </r>
  <r>
    <n v="1374"/>
    <n v="45213"/>
    <s v="Priya"/>
    <x v="0"/>
    <x v="3"/>
    <n v="27216"/>
    <n v="17463"/>
    <n v="9753"/>
    <x v="0"/>
    <x v="1"/>
  </r>
  <r>
    <n v="1375"/>
    <n v="45179"/>
    <s v="Neha"/>
    <x v="2"/>
    <x v="0"/>
    <n v="61973"/>
    <n v="42314"/>
    <n v="19659"/>
    <x v="0"/>
    <x v="7"/>
  </r>
  <r>
    <n v="1376"/>
    <n v="45327"/>
    <s v="Aman"/>
    <x v="3"/>
    <x v="4"/>
    <n v="37321"/>
    <n v="30464"/>
    <n v="6857"/>
    <x v="1"/>
    <x v="3"/>
  </r>
  <r>
    <n v="1377"/>
    <n v="45242"/>
    <s v="Priya"/>
    <x v="1"/>
    <x v="1"/>
    <n v="22758"/>
    <n v="15734"/>
    <n v="7024"/>
    <x v="0"/>
    <x v="2"/>
  </r>
  <r>
    <n v="1378"/>
    <n v="45097"/>
    <s v="Kiran"/>
    <x v="1"/>
    <x v="4"/>
    <n v="62700"/>
    <n v="43916"/>
    <n v="18784"/>
    <x v="0"/>
    <x v="9"/>
  </r>
  <r>
    <n v="1379"/>
    <n v="45367"/>
    <s v="Kiran"/>
    <x v="0"/>
    <x v="4"/>
    <n v="47030"/>
    <n v="36728"/>
    <n v="10302"/>
    <x v="1"/>
    <x v="6"/>
  </r>
  <r>
    <n v="1380"/>
    <n v="45172"/>
    <s v="Anjali"/>
    <x v="0"/>
    <x v="3"/>
    <n v="46830"/>
    <n v="32192"/>
    <n v="14638"/>
    <x v="0"/>
    <x v="7"/>
  </r>
  <r>
    <n v="1381"/>
    <n v="45178"/>
    <s v="Kiran"/>
    <x v="0"/>
    <x v="4"/>
    <n v="54290"/>
    <n v="37139"/>
    <n v="17151"/>
    <x v="0"/>
    <x v="7"/>
  </r>
  <r>
    <n v="1382"/>
    <n v="45113"/>
    <s v="Aman"/>
    <x v="0"/>
    <x v="2"/>
    <n v="76516"/>
    <n v="50039"/>
    <n v="26477"/>
    <x v="0"/>
    <x v="10"/>
  </r>
  <r>
    <n v="1383"/>
    <n v="44940"/>
    <s v="Pooja"/>
    <x v="0"/>
    <x v="3"/>
    <n v="43185"/>
    <n v="36680"/>
    <n v="6505"/>
    <x v="0"/>
    <x v="0"/>
  </r>
  <r>
    <n v="1384"/>
    <n v="45361"/>
    <s v="Vikas"/>
    <x v="1"/>
    <x v="0"/>
    <n v="44692"/>
    <n v="30060"/>
    <n v="14632"/>
    <x v="1"/>
    <x v="6"/>
  </r>
  <r>
    <n v="1385"/>
    <n v="45293"/>
    <s v="Vikas"/>
    <x v="1"/>
    <x v="1"/>
    <n v="63860"/>
    <n v="57295"/>
    <n v="6565"/>
    <x v="1"/>
    <x v="0"/>
  </r>
  <r>
    <n v="1386"/>
    <n v="45132"/>
    <s v="Suresh"/>
    <x v="1"/>
    <x v="2"/>
    <n v="9818"/>
    <n v="8219"/>
    <n v="1599"/>
    <x v="0"/>
    <x v="10"/>
  </r>
  <r>
    <n v="1387"/>
    <n v="45342"/>
    <s v="Suresh"/>
    <x v="2"/>
    <x v="1"/>
    <n v="37536"/>
    <n v="29926"/>
    <n v="7610"/>
    <x v="1"/>
    <x v="3"/>
  </r>
  <r>
    <n v="1388"/>
    <n v="45258"/>
    <s v="Kiran"/>
    <x v="2"/>
    <x v="2"/>
    <n v="57378"/>
    <n v="51068"/>
    <n v="6310"/>
    <x v="0"/>
    <x v="2"/>
  </r>
  <r>
    <n v="1389"/>
    <n v="45334"/>
    <s v="Vikas"/>
    <x v="2"/>
    <x v="1"/>
    <n v="17924"/>
    <n v="12145"/>
    <n v="5779"/>
    <x v="1"/>
    <x v="3"/>
  </r>
  <r>
    <n v="1390"/>
    <n v="45192"/>
    <s v="Suresh"/>
    <x v="0"/>
    <x v="3"/>
    <n v="54036"/>
    <n v="38762"/>
    <n v="15274"/>
    <x v="0"/>
    <x v="7"/>
  </r>
  <r>
    <n v="1391"/>
    <n v="45228"/>
    <s v="Suresh"/>
    <x v="0"/>
    <x v="4"/>
    <n v="8219"/>
    <n v="6121"/>
    <n v="2098"/>
    <x v="0"/>
    <x v="1"/>
  </r>
  <r>
    <n v="1392"/>
    <n v="44970"/>
    <s v="Aman"/>
    <x v="0"/>
    <x v="4"/>
    <n v="45880"/>
    <n v="32249"/>
    <n v="13631"/>
    <x v="0"/>
    <x v="3"/>
  </r>
  <r>
    <n v="1393"/>
    <n v="45193"/>
    <s v="Pooja"/>
    <x v="3"/>
    <x v="3"/>
    <n v="17795"/>
    <n v="13016"/>
    <n v="4779"/>
    <x v="0"/>
    <x v="7"/>
  </r>
  <r>
    <n v="1394"/>
    <n v="45090"/>
    <s v="Aman"/>
    <x v="3"/>
    <x v="1"/>
    <n v="20084"/>
    <n v="12186"/>
    <n v="7898"/>
    <x v="0"/>
    <x v="9"/>
  </r>
  <r>
    <n v="1395"/>
    <n v="44982"/>
    <s v="Neha"/>
    <x v="0"/>
    <x v="2"/>
    <n v="27865"/>
    <n v="21332"/>
    <n v="6533"/>
    <x v="0"/>
    <x v="3"/>
  </r>
  <r>
    <n v="1396"/>
    <n v="45145"/>
    <s v="Pooja"/>
    <x v="0"/>
    <x v="3"/>
    <n v="29176"/>
    <n v="19137"/>
    <n v="10039"/>
    <x v="0"/>
    <x v="4"/>
  </r>
  <r>
    <n v="1397"/>
    <n v="45129"/>
    <s v="Rahul"/>
    <x v="0"/>
    <x v="3"/>
    <n v="61302"/>
    <n v="43932"/>
    <n v="17370"/>
    <x v="0"/>
    <x v="10"/>
  </r>
  <r>
    <n v="1398"/>
    <n v="45032"/>
    <s v="Rohit"/>
    <x v="2"/>
    <x v="2"/>
    <n v="18336"/>
    <n v="15399"/>
    <n v="2937"/>
    <x v="0"/>
    <x v="11"/>
  </r>
  <r>
    <n v="1399"/>
    <n v="45114"/>
    <s v="Anjali"/>
    <x v="0"/>
    <x v="3"/>
    <n v="19936"/>
    <n v="13530"/>
    <n v="6406"/>
    <x v="0"/>
    <x v="10"/>
  </r>
  <r>
    <n v="1400"/>
    <n v="45197"/>
    <s v="Anjali"/>
    <x v="1"/>
    <x v="2"/>
    <n v="56451"/>
    <n v="43811"/>
    <n v="12640"/>
    <x v="0"/>
    <x v="7"/>
  </r>
  <r>
    <n v="1401"/>
    <n v="45359"/>
    <s v="Pooja"/>
    <x v="0"/>
    <x v="4"/>
    <n v="16108"/>
    <n v="12912"/>
    <n v="3196"/>
    <x v="1"/>
    <x v="6"/>
  </r>
  <r>
    <n v="1402"/>
    <n v="45049"/>
    <s v="Rohit"/>
    <x v="2"/>
    <x v="0"/>
    <n v="53929"/>
    <n v="43576"/>
    <n v="10353"/>
    <x v="0"/>
    <x v="8"/>
  </r>
  <r>
    <n v="1403"/>
    <n v="45141"/>
    <s v="Kiran"/>
    <x v="0"/>
    <x v="2"/>
    <n v="55293"/>
    <n v="40193"/>
    <n v="15100"/>
    <x v="0"/>
    <x v="4"/>
  </r>
  <r>
    <n v="1404"/>
    <n v="45202"/>
    <s v="Neha"/>
    <x v="0"/>
    <x v="3"/>
    <n v="42858"/>
    <n v="27518"/>
    <n v="15340"/>
    <x v="0"/>
    <x v="1"/>
  </r>
  <r>
    <n v="1405"/>
    <n v="45157"/>
    <s v="Kiran"/>
    <x v="2"/>
    <x v="4"/>
    <n v="6256"/>
    <n v="4663"/>
    <n v="1593"/>
    <x v="0"/>
    <x v="4"/>
  </r>
  <r>
    <n v="1406"/>
    <n v="45123"/>
    <s v="Suresh"/>
    <x v="1"/>
    <x v="3"/>
    <n v="69451"/>
    <n v="50330"/>
    <n v="19121"/>
    <x v="0"/>
    <x v="10"/>
  </r>
  <r>
    <n v="1407"/>
    <n v="45177"/>
    <s v="Neha"/>
    <x v="2"/>
    <x v="2"/>
    <n v="9044"/>
    <n v="7585"/>
    <n v="1459"/>
    <x v="0"/>
    <x v="7"/>
  </r>
  <r>
    <n v="1408"/>
    <n v="44943"/>
    <s v="Rohit"/>
    <x v="0"/>
    <x v="2"/>
    <n v="42836"/>
    <n v="27863"/>
    <n v="14973"/>
    <x v="0"/>
    <x v="0"/>
  </r>
  <r>
    <n v="1409"/>
    <n v="45307"/>
    <s v="Pooja"/>
    <x v="2"/>
    <x v="2"/>
    <n v="19969"/>
    <n v="13586"/>
    <n v="6383"/>
    <x v="1"/>
    <x v="0"/>
  </r>
  <r>
    <n v="1410"/>
    <n v="45114"/>
    <s v="Suresh"/>
    <x v="2"/>
    <x v="3"/>
    <n v="76611"/>
    <n v="50989"/>
    <n v="25622"/>
    <x v="0"/>
    <x v="10"/>
  </r>
  <r>
    <n v="1411"/>
    <n v="45303"/>
    <s v="Priya"/>
    <x v="3"/>
    <x v="1"/>
    <n v="63947"/>
    <n v="43410"/>
    <n v="20537"/>
    <x v="1"/>
    <x v="0"/>
  </r>
  <r>
    <n v="1412"/>
    <n v="44971"/>
    <s v="Pooja"/>
    <x v="2"/>
    <x v="0"/>
    <n v="32509"/>
    <n v="27411"/>
    <n v="5098"/>
    <x v="0"/>
    <x v="3"/>
  </r>
  <r>
    <n v="1413"/>
    <n v="45106"/>
    <s v="Kiran"/>
    <x v="1"/>
    <x v="0"/>
    <n v="23249"/>
    <n v="19423"/>
    <n v="3826"/>
    <x v="0"/>
    <x v="9"/>
  </r>
  <r>
    <n v="1414"/>
    <n v="45339"/>
    <s v="Rahul"/>
    <x v="3"/>
    <x v="2"/>
    <n v="41842"/>
    <n v="32597"/>
    <n v="9245"/>
    <x v="1"/>
    <x v="3"/>
  </r>
  <r>
    <n v="1415"/>
    <n v="45287"/>
    <s v="Rohit"/>
    <x v="3"/>
    <x v="2"/>
    <n v="40041"/>
    <n v="35465"/>
    <n v="4576"/>
    <x v="0"/>
    <x v="5"/>
  </r>
  <r>
    <n v="1416"/>
    <n v="45274"/>
    <s v="Aman"/>
    <x v="0"/>
    <x v="3"/>
    <n v="12770"/>
    <n v="11464"/>
    <n v="1306"/>
    <x v="0"/>
    <x v="5"/>
  </r>
  <r>
    <n v="1417"/>
    <n v="44991"/>
    <s v="Neha"/>
    <x v="0"/>
    <x v="0"/>
    <n v="47217"/>
    <n v="40065"/>
    <n v="7152"/>
    <x v="0"/>
    <x v="6"/>
  </r>
  <r>
    <n v="1418"/>
    <n v="45273"/>
    <s v="Vikas"/>
    <x v="1"/>
    <x v="0"/>
    <n v="40221"/>
    <n v="31707"/>
    <n v="8514"/>
    <x v="0"/>
    <x v="5"/>
  </r>
  <r>
    <n v="1419"/>
    <n v="44965"/>
    <s v="Aman"/>
    <x v="1"/>
    <x v="2"/>
    <n v="41467"/>
    <n v="33522"/>
    <n v="7945"/>
    <x v="0"/>
    <x v="3"/>
  </r>
  <r>
    <n v="1420"/>
    <n v="45159"/>
    <s v="Pooja"/>
    <x v="3"/>
    <x v="2"/>
    <n v="5324"/>
    <n v="4582"/>
    <n v="742"/>
    <x v="0"/>
    <x v="4"/>
  </r>
  <r>
    <n v="1421"/>
    <n v="44974"/>
    <s v="Pooja"/>
    <x v="3"/>
    <x v="1"/>
    <n v="75048"/>
    <n v="53983"/>
    <n v="21065"/>
    <x v="0"/>
    <x v="3"/>
  </r>
  <r>
    <n v="1422"/>
    <n v="45349"/>
    <s v="Priya"/>
    <x v="1"/>
    <x v="4"/>
    <n v="47318"/>
    <n v="40149"/>
    <n v="7169"/>
    <x v="1"/>
    <x v="3"/>
  </r>
  <r>
    <n v="1423"/>
    <n v="45222"/>
    <s v="Neha"/>
    <x v="1"/>
    <x v="4"/>
    <n v="11345"/>
    <n v="6963"/>
    <n v="4382"/>
    <x v="0"/>
    <x v="1"/>
  </r>
  <r>
    <n v="1424"/>
    <n v="45355"/>
    <s v="Pooja"/>
    <x v="2"/>
    <x v="1"/>
    <n v="25707"/>
    <n v="18827"/>
    <n v="6880"/>
    <x v="1"/>
    <x v="6"/>
  </r>
  <r>
    <n v="1426"/>
    <n v="45067"/>
    <s v="Aman"/>
    <x v="3"/>
    <x v="4"/>
    <n v="15803"/>
    <n v="11244"/>
    <n v="4559"/>
    <x v="0"/>
    <x v="8"/>
  </r>
  <r>
    <n v="1427"/>
    <n v="45011"/>
    <s v="Rahul"/>
    <x v="1"/>
    <x v="4"/>
    <n v="35689"/>
    <n v="26009"/>
    <n v="9680"/>
    <x v="0"/>
    <x v="6"/>
  </r>
  <r>
    <n v="1428"/>
    <n v="44975"/>
    <s v="Rahul"/>
    <x v="0"/>
    <x v="3"/>
    <n v="15215"/>
    <n v="9734"/>
    <n v="5481"/>
    <x v="0"/>
    <x v="3"/>
  </r>
  <r>
    <n v="1429"/>
    <n v="45275"/>
    <s v="Pooja"/>
    <x v="2"/>
    <x v="1"/>
    <n v="50032"/>
    <n v="42283"/>
    <n v="7749"/>
    <x v="0"/>
    <x v="5"/>
  </r>
  <r>
    <n v="1430"/>
    <n v="45143"/>
    <s v="Neha"/>
    <x v="1"/>
    <x v="1"/>
    <n v="35008"/>
    <n v="25027"/>
    <n v="9981"/>
    <x v="0"/>
    <x v="4"/>
  </r>
  <r>
    <n v="1431"/>
    <n v="44979"/>
    <s v="Aman"/>
    <x v="3"/>
    <x v="4"/>
    <n v="44223"/>
    <n v="28353"/>
    <n v="15870"/>
    <x v="0"/>
    <x v="3"/>
  </r>
  <r>
    <n v="1432"/>
    <n v="45312"/>
    <s v="Neha"/>
    <x v="0"/>
    <x v="1"/>
    <n v="74534"/>
    <n v="57315"/>
    <n v="17219"/>
    <x v="1"/>
    <x v="0"/>
  </r>
  <r>
    <n v="1433"/>
    <n v="45011"/>
    <s v="Pooja"/>
    <x v="3"/>
    <x v="0"/>
    <n v="24840"/>
    <n v="21759"/>
    <n v="3081"/>
    <x v="0"/>
    <x v="6"/>
  </r>
  <r>
    <n v="1434"/>
    <n v="45153"/>
    <s v="Priya"/>
    <x v="2"/>
    <x v="1"/>
    <n v="23351"/>
    <n v="19281"/>
    <n v="4070"/>
    <x v="0"/>
    <x v="4"/>
  </r>
  <r>
    <n v="1435"/>
    <n v="45123"/>
    <s v="Anjali"/>
    <x v="1"/>
    <x v="4"/>
    <n v="23327"/>
    <n v="15730"/>
    <n v="7597"/>
    <x v="0"/>
    <x v="10"/>
  </r>
  <r>
    <n v="1436"/>
    <n v="45054"/>
    <s v="Suresh"/>
    <x v="3"/>
    <x v="1"/>
    <n v="44537"/>
    <n v="29467"/>
    <n v="15070"/>
    <x v="0"/>
    <x v="8"/>
  </r>
  <r>
    <n v="1437"/>
    <n v="45023"/>
    <s v="Vikas"/>
    <x v="3"/>
    <x v="1"/>
    <n v="36370"/>
    <n v="27221"/>
    <n v="9149"/>
    <x v="0"/>
    <x v="11"/>
  </r>
  <r>
    <n v="1438"/>
    <n v="45182"/>
    <s v="Kiran"/>
    <x v="2"/>
    <x v="2"/>
    <n v="6581"/>
    <n v="5897"/>
    <n v="684"/>
    <x v="0"/>
    <x v="7"/>
  </r>
  <r>
    <n v="1439"/>
    <n v="44994"/>
    <s v="Vikas"/>
    <x v="1"/>
    <x v="4"/>
    <n v="76612"/>
    <n v="61663"/>
    <n v="14949"/>
    <x v="0"/>
    <x v="6"/>
  </r>
  <r>
    <n v="1440"/>
    <n v="45321"/>
    <s v="Aman"/>
    <x v="2"/>
    <x v="2"/>
    <n v="13851"/>
    <n v="8367"/>
    <n v="5484"/>
    <x v="1"/>
    <x v="0"/>
  </r>
  <r>
    <n v="1441"/>
    <n v="44957"/>
    <s v="Vikas"/>
    <x v="3"/>
    <x v="2"/>
    <n v="59451"/>
    <n v="43225"/>
    <n v="16226"/>
    <x v="0"/>
    <x v="0"/>
  </r>
  <r>
    <n v="1442"/>
    <n v="45254"/>
    <s v="Suresh"/>
    <x v="0"/>
    <x v="4"/>
    <n v="15957"/>
    <n v="11057"/>
    <n v="4900"/>
    <x v="0"/>
    <x v="2"/>
  </r>
  <r>
    <n v="1443"/>
    <n v="45031"/>
    <s v="Neha"/>
    <x v="3"/>
    <x v="3"/>
    <n v="13665"/>
    <n v="9470"/>
    <n v="4195"/>
    <x v="0"/>
    <x v="11"/>
  </r>
  <r>
    <n v="1444"/>
    <n v="45360"/>
    <s v="Priya"/>
    <x v="2"/>
    <x v="0"/>
    <n v="16300"/>
    <n v="14301"/>
    <n v="1999"/>
    <x v="1"/>
    <x v="6"/>
  </r>
  <r>
    <n v="1445"/>
    <n v="45240"/>
    <s v="Kiran"/>
    <x v="2"/>
    <x v="4"/>
    <n v="28022"/>
    <n v="17817"/>
    <n v="10205"/>
    <x v="0"/>
    <x v="2"/>
  </r>
  <r>
    <n v="1446"/>
    <n v="45286"/>
    <s v="Rahul"/>
    <x v="0"/>
    <x v="3"/>
    <n v="50443"/>
    <n v="38180"/>
    <n v="12263"/>
    <x v="0"/>
    <x v="5"/>
  </r>
  <r>
    <n v="1447"/>
    <n v="45296"/>
    <s v="Rohit"/>
    <x v="0"/>
    <x v="4"/>
    <n v="21637"/>
    <n v="17849"/>
    <n v="3788"/>
    <x v="1"/>
    <x v="0"/>
  </r>
  <r>
    <n v="1448"/>
    <n v="45302"/>
    <s v="Aman"/>
    <x v="2"/>
    <x v="4"/>
    <n v="61272"/>
    <n v="41762"/>
    <n v="19510"/>
    <x v="1"/>
    <x v="0"/>
  </r>
  <r>
    <n v="1449"/>
    <n v="45291"/>
    <s v="Kiran"/>
    <x v="2"/>
    <x v="3"/>
    <n v="64663"/>
    <n v="48706"/>
    <n v="15957"/>
    <x v="0"/>
    <x v="5"/>
  </r>
  <r>
    <n v="1450"/>
    <n v="45366"/>
    <s v="Kiran"/>
    <x v="0"/>
    <x v="4"/>
    <n v="25618"/>
    <n v="17331"/>
    <n v="8287"/>
    <x v="1"/>
    <x v="6"/>
  </r>
  <r>
    <n v="1451"/>
    <n v="45220"/>
    <s v="Aman"/>
    <x v="0"/>
    <x v="2"/>
    <n v="5336"/>
    <n v="3272"/>
    <n v="2064"/>
    <x v="0"/>
    <x v="1"/>
  </r>
  <r>
    <n v="1452"/>
    <n v="45052"/>
    <s v="Rahul"/>
    <x v="1"/>
    <x v="4"/>
    <n v="55197"/>
    <n v="48356"/>
    <n v="6841"/>
    <x v="0"/>
    <x v="8"/>
  </r>
  <r>
    <n v="1453"/>
    <n v="45366"/>
    <s v="Rahul"/>
    <x v="1"/>
    <x v="0"/>
    <n v="47179"/>
    <n v="31821"/>
    <n v="15358"/>
    <x v="1"/>
    <x v="6"/>
  </r>
  <r>
    <n v="1454"/>
    <n v="45090"/>
    <s v="Rohit"/>
    <x v="2"/>
    <x v="2"/>
    <n v="53864"/>
    <n v="34247"/>
    <n v="19617"/>
    <x v="0"/>
    <x v="9"/>
  </r>
  <r>
    <n v="1455"/>
    <n v="44953"/>
    <s v="Neha"/>
    <x v="0"/>
    <x v="2"/>
    <n v="11019"/>
    <n v="9765"/>
    <n v="1254"/>
    <x v="0"/>
    <x v="0"/>
  </r>
  <r>
    <n v="1456"/>
    <n v="45165"/>
    <s v="Rohit"/>
    <x v="3"/>
    <x v="4"/>
    <n v="16322"/>
    <n v="12501"/>
    <n v="3821"/>
    <x v="0"/>
    <x v="4"/>
  </r>
  <r>
    <n v="1458"/>
    <n v="45115"/>
    <s v="Kiran"/>
    <x v="1"/>
    <x v="0"/>
    <n v="76638"/>
    <n v="63467"/>
    <n v="13171"/>
    <x v="0"/>
    <x v="10"/>
  </r>
  <r>
    <n v="1459"/>
    <n v="44930"/>
    <s v="Vikas"/>
    <x v="2"/>
    <x v="0"/>
    <n v="75981"/>
    <n v="53485"/>
    <n v="22496"/>
    <x v="0"/>
    <x v="0"/>
  </r>
  <r>
    <n v="1460"/>
    <n v="45376"/>
    <s v="Rahul"/>
    <x v="3"/>
    <x v="1"/>
    <n v="54319"/>
    <n v="46426"/>
    <n v="7893"/>
    <x v="1"/>
    <x v="6"/>
  </r>
  <r>
    <n v="1461"/>
    <n v="44980"/>
    <s v="Priya"/>
    <x v="0"/>
    <x v="3"/>
    <n v="69491"/>
    <n v="61732"/>
    <n v="7759"/>
    <x v="0"/>
    <x v="3"/>
  </r>
  <r>
    <n v="1462"/>
    <n v="44999"/>
    <s v="Rohit"/>
    <x v="2"/>
    <x v="1"/>
    <n v="35339"/>
    <n v="30716"/>
    <n v="4623"/>
    <x v="0"/>
    <x v="6"/>
  </r>
  <r>
    <n v="1463"/>
    <n v="45285"/>
    <s v="Anjali"/>
    <x v="1"/>
    <x v="1"/>
    <n v="17527"/>
    <n v="13173"/>
    <n v="4354"/>
    <x v="0"/>
    <x v="5"/>
  </r>
  <r>
    <n v="1464"/>
    <n v="45128"/>
    <s v="Aman"/>
    <x v="2"/>
    <x v="3"/>
    <n v="22132"/>
    <n v="14851"/>
    <n v="7281"/>
    <x v="0"/>
    <x v="10"/>
  </r>
  <r>
    <n v="1465"/>
    <n v="45088"/>
    <s v="Vikas"/>
    <x v="3"/>
    <x v="4"/>
    <n v="64343"/>
    <n v="43855"/>
    <n v="20488"/>
    <x v="0"/>
    <x v="9"/>
  </r>
  <r>
    <n v="1466"/>
    <n v="45030"/>
    <s v="Neha"/>
    <x v="2"/>
    <x v="0"/>
    <n v="18848"/>
    <n v="12238"/>
    <n v="6610"/>
    <x v="0"/>
    <x v="11"/>
  </r>
  <r>
    <n v="1467"/>
    <n v="45135"/>
    <s v="Aman"/>
    <x v="3"/>
    <x v="0"/>
    <n v="64233"/>
    <n v="44480"/>
    <n v="19753"/>
    <x v="0"/>
    <x v="10"/>
  </r>
  <r>
    <n v="1468"/>
    <n v="44988"/>
    <s v="Aman"/>
    <x v="0"/>
    <x v="4"/>
    <n v="10286"/>
    <n v="6835"/>
    <n v="3451"/>
    <x v="0"/>
    <x v="6"/>
  </r>
  <r>
    <n v="1469"/>
    <n v="45002"/>
    <s v="Aman"/>
    <x v="0"/>
    <x v="4"/>
    <n v="56936"/>
    <n v="42931"/>
    <n v="14005"/>
    <x v="0"/>
    <x v="6"/>
  </r>
  <r>
    <n v="1470"/>
    <n v="45060"/>
    <s v="Neha"/>
    <x v="2"/>
    <x v="3"/>
    <n v="64270"/>
    <n v="49281"/>
    <n v="14989"/>
    <x v="0"/>
    <x v="8"/>
  </r>
  <r>
    <n v="1471"/>
    <n v="44975"/>
    <s v="Pooja"/>
    <x v="2"/>
    <x v="0"/>
    <n v="20919"/>
    <n v="12626"/>
    <n v="8293"/>
    <x v="0"/>
    <x v="3"/>
  </r>
  <r>
    <n v="1472"/>
    <n v="45040"/>
    <s v="Neha"/>
    <x v="0"/>
    <x v="3"/>
    <n v="53790"/>
    <n v="43348"/>
    <n v="10442"/>
    <x v="0"/>
    <x v="11"/>
  </r>
  <r>
    <n v="1473"/>
    <n v="44970"/>
    <s v="Kiran"/>
    <x v="3"/>
    <x v="1"/>
    <n v="7857"/>
    <n v="7064"/>
    <n v="793"/>
    <x v="0"/>
    <x v="3"/>
  </r>
  <r>
    <n v="1474"/>
    <n v="45257"/>
    <s v="Pooja"/>
    <x v="0"/>
    <x v="1"/>
    <n v="48456"/>
    <n v="30854"/>
    <n v="17602"/>
    <x v="0"/>
    <x v="2"/>
  </r>
  <r>
    <n v="1475"/>
    <n v="44952"/>
    <s v="Neha"/>
    <x v="1"/>
    <x v="3"/>
    <n v="70028"/>
    <n v="42636"/>
    <n v="27392"/>
    <x v="0"/>
    <x v="0"/>
  </r>
  <r>
    <n v="1476"/>
    <n v="45015"/>
    <s v="Anjali"/>
    <x v="0"/>
    <x v="0"/>
    <n v="41042"/>
    <n v="28070"/>
    <n v="12972"/>
    <x v="0"/>
    <x v="6"/>
  </r>
  <r>
    <n v="1477"/>
    <n v="44944"/>
    <s v="Kiran"/>
    <x v="0"/>
    <x v="4"/>
    <n v="70390"/>
    <n v="50934"/>
    <n v="19456"/>
    <x v="0"/>
    <x v="0"/>
  </r>
  <r>
    <n v="1478"/>
    <n v="44958"/>
    <s v="Aman"/>
    <x v="3"/>
    <x v="3"/>
    <n v="22987"/>
    <n v="16683"/>
    <n v="6304"/>
    <x v="0"/>
    <x v="3"/>
  </r>
  <r>
    <n v="1479"/>
    <n v="45335"/>
    <s v="Suresh"/>
    <x v="0"/>
    <x v="2"/>
    <n v="7559"/>
    <n v="6779"/>
    <n v="780"/>
    <x v="1"/>
    <x v="3"/>
  </r>
  <r>
    <n v="1480"/>
    <n v="45110"/>
    <s v="Pooja"/>
    <x v="1"/>
    <x v="4"/>
    <n v="79141"/>
    <n v="59412"/>
    <n v="19729"/>
    <x v="0"/>
    <x v="10"/>
  </r>
  <r>
    <n v="1481"/>
    <n v="45019"/>
    <s v="Rahul"/>
    <x v="3"/>
    <x v="2"/>
    <n v="33707"/>
    <n v="20520"/>
    <n v="13187"/>
    <x v="0"/>
    <x v="11"/>
  </r>
  <r>
    <n v="1482"/>
    <n v="45070"/>
    <s v="Rahul"/>
    <x v="1"/>
    <x v="2"/>
    <n v="51849"/>
    <n v="43037"/>
    <n v="8812"/>
    <x v="0"/>
    <x v="8"/>
  </r>
  <r>
    <n v="1483"/>
    <n v="45008"/>
    <s v="Aman"/>
    <x v="0"/>
    <x v="0"/>
    <n v="39934"/>
    <n v="30354"/>
    <n v="9580"/>
    <x v="0"/>
    <x v="6"/>
  </r>
  <r>
    <n v="1484"/>
    <n v="45304"/>
    <s v="Rahul"/>
    <x v="0"/>
    <x v="2"/>
    <n v="55911"/>
    <n v="39497"/>
    <n v="16414"/>
    <x v="1"/>
    <x v="0"/>
  </r>
  <r>
    <n v="1485"/>
    <n v="45359"/>
    <s v="Neha"/>
    <x v="0"/>
    <x v="0"/>
    <n v="46681"/>
    <n v="39299"/>
    <n v="7382"/>
    <x v="1"/>
    <x v="6"/>
  </r>
  <r>
    <n v="1486"/>
    <n v="45229"/>
    <s v="Rahul"/>
    <x v="3"/>
    <x v="2"/>
    <n v="78873"/>
    <n v="50686"/>
    <n v="28187"/>
    <x v="0"/>
    <x v="1"/>
  </r>
  <r>
    <n v="1487"/>
    <n v="45355"/>
    <s v="Pooja"/>
    <x v="3"/>
    <x v="0"/>
    <n v="69282"/>
    <n v="42358"/>
    <n v="26924"/>
    <x v="1"/>
    <x v="6"/>
  </r>
  <r>
    <n v="1488"/>
    <n v="45235"/>
    <s v="Priya"/>
    <x v="2"/>
    <x v="2"/>
    <n v="67650"/>
    <n v="40603"/>
    <n v="27047"/>
    <x v="0"/>
    <x v="2"/>
  </r>
  <r>
    <n v="1489"/>
    <n v="45030"/>
    <s v="Neha"/>
    <x v="3"/>
    <x v="0"/>
    <n v="47413"/>
    <n v="29294"/>
    <n v="18119"/>
    <x v="0"/>
    <x v="11"/>
  </r>
  <r>
    <n v="1490"/>
    <n v="45287"/>
    <s v="Neha"/>
    <x v="2"/>
    <x v="2"/>
    <n v="52826"/>
    <n v="46918"/>
    <n v="5908"/>
    <x v="0"/>
    <x v="5"/>
  </r>
  <r>
    <n v="1491"/>
    <n v="45266"/>
    <s v="Vikas"/>
    <x v="2"/>
    <x v="4"/>
    <n v="44552"/>
    <n v="31042"/>
    <n v="13510"/>
    <x v="0"/>
    <x v="5"/>
  </r>
  <r>
    <n v="1492"/>
    <n v="45301"/>
    <s v="Vikas"/>
    <x v="1"/>
    <x v="4"/>
    <n v="27833"/>
    <n v="22604"/>
    <n v="5229"/>
    <x v="1"/>
    <x v="0"/>
  </r>
  <r>
    <n v="1493"/>
    <n v="45241"/>
    <s v="Anjali"/>
    <x v="0"/>
    <x v="2"/>
    <n v="27983"/>
    <n v="19966"/>
    <n v="8017"/>
    <x v="0"/>
    <x v="2"/>
  </r>
  <r>
    <n v="1494"/>
    <n v="45077"/>
    <s v="Neha"/>
    <x v="0"/>
    <x v="1"/>
    <n v="56327"/>
    <n v="48172"/>
    <n v="8155"/>
    <x v="0"/>
    <x v="8"/>
  </r>
  <r>
    <n v="1495"/>
    <n v="45217"/>
    <s v="Rahul"/>
    <x v="0"/>
    <x v="2"/>
    <n v="46709"/>
    <n v="40931"/>
    <n v="5778"/>
    <x v="0"/>
    <x v="1"/>
  </r>
  <r>
    <n v="1496"/>
    <n v="45040"/>
    <s v="Kiran"/>
    <x v="2"/>
    <x v="3"/>
    <n v="23434"/>
    <n v="16388"/>
    <n v="7046"/>
    <x v="0"/>
    <x v="11"/>
  </r>
  <r>
    <n v="1497"/>
    <n v="45104"/>
    <s v="Anjali"/>
    <x v="0"/>
    <x v="1"/>
    <n v="49007"/>
    <n v="35970"/>
    <n v="13037"/>
    <x v="0"/>
    <x v="9"/>
  </r>
  <r>
    <n v="1498"/>
    <n v="45054"/>
    <s v="Aman"/>
    <x v="3"/>
    <x v="4"/>
    <n v="19160"/>
    <n v="15636"/>
    <n v="3524"/>
    <x v="0"/>
    <x v="8"/>
  </r>
  <r>
    <n v="1500"/>
    <n v="45206"/>
    <s v="Vikas"/>
    <x v="2"/>
    <x v="3"/>
    <n v="34567"/>
    <n v="22426"/>
    <n v="1214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D1FDBF-9106-4401-BE00-98552DB55917}" name="Sales_by_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B8" firstHeaderRow="1" firstDataRow="1" firstDataCol="1"/>
  <pivotFields count="10">
    <pivotField showAll="0"/>
    <pivotField showAll="0"/>
    <pivotField showAll="0"/>
    <pivotField axis="axisRow" showAll="0">
      <items count="5">
        <item x="3"/>
        <item x="2"/>
        <item x="0"/>
        <item x="1"/>
        <item t="default"/>
      </items>
    </pivotField>
    <pivotField showAll="0"/>
    <pivotField dataField="1" showAll="0"/>
    <pivotField showAll="0"/>
    <pivotField showAll="0"/>
    <pivotField showAll="0"/>
    <pivotField showAll="0"/>
  </pivotFields>
  <rowFields count="1">
    <field x="3"/>
  </rowFields>
  <rowItems count="5">
    <i>
      <x/>
    </i>
    <i>
      <x v="1"/>
    </i>
    <i>
      <x v="2"/>
    </i>
    <i>
      <x v="3"/>
    </i>
    <i t="grand">
      <x/>
    </i>
  </rowItems>
  <colItems count="1">
    <i/>
  </colItems>
  <dataFields count="1">
    <dataField name="Sum of Sales" fld="5"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C16187-2A27-459C-88EA-AEEA5602E825}" name="Sales_by_Produc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10">
    <pivotField showAll="0"/>
    <pivotField showAll="0"/>
    <pivotField showAll="0"/>
    <pivotField showAll="0"/>
    <pivotField axis="axisRow" showAll="0">
      <items count="6">
        <item x="1"/>
        <item x="0"/>
        <item x="2"/>
        <item x="3"/>
        <item x="4"/>
        <item t="default"/>
      </items>
    </pivotField>
    <pivotField dataField="1"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13FFC3-05EA-4DB4-8EB7-E8D1C145A31B}" name="Monthly_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6" firstHeaderRow="1" firstDataRow="1" firstDataCol="1"/>
  <pivotFields count="10">
    <pivotField showAll="0"/>
    <pivotField showAll="0"/>
    <pivotField showAll="0"/>
    <pivotField showAll="0"/>
    <pivotField showAll="0"/>
    <pivotField dataField="1" showAll="0"/>
    <pivotField showAll="0"/>
    <pivotField showAll="0"/>
    <pivotField showAll="0"/>
    <pivotField axis="axisRow" showAll="0">
      <items count="13">
        <item x="0"/>
        <item x="3"/>
        <item x="6"/>
        <item x="11"/>
        <item x="8"/>
        <item x="9"/>
        <item x="10"/>
        <item x="4"/>
        <item x="7"/>
        <item x="1"/>
        <item x="2"/>
        <item x="5"/>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D2AB19-04CE-4FCC-BFFA-F104E46887B6}" name="Profit_by_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0">
    <pivotField showAll="0"/>
    <pivotField showAll="0"/>
    <pivotField showAll="0"/>
    <pivotField axis="axisRow" showAll="0">
      <items count="5">
        <item x="3"/>
        <item x="2"/>
        <item x="0"/>
        <item x="1"/>
        <item t="default"/>
      </items>
    </pivotField>
    <pivotField showAll="0"/>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EC27E0-41C3-4D79-8E6F-1FD7209268E7}" name="Profit_by_yea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10">
    <pivotField showAll="0"/>
    <pivotField showAll="0"/>
    <pivotField showAll="0"/>
    <pivotField showAll="0"/>
    <pivotField showAll="0"/>
    <pivotField showAll="0"/>
    <pivotField showAll="0"/>
    <pivotField dataField="1" showAll="0"/>
    <pivotField axis="axisRow" showAll="0">
      <items count="3">
        <item x="0"/>
        <item x="1"/>
        <item t="default"/>
      </items>
    </pivotField>
    <pivotField showAll="0"/>
  </pivotFields>
  <rowFields count="1">
    <field x="8"/>
  </rowFields>
  <rowItems count="3">
    <i>
      <x/>
    </i>
    <i>
      <x v="1"/>
    </i>
    <i t="grand">
      <x/>
    </i>
  </rowItems>
  <colItems count="1">
    <i/>
  </colItems>
  <dataFields count="1">
    <dataField name="Sum of Profit" fld="7"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 chart="2"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EC80B4-E4E8-43A0-850C-1086E1539224}" sourceName="Region">
  <pivotTables>
    <pivotTable tabId="3" name="Sales_by_Region"/>
  </pivotTables>
  <data>
    <tabular pivotCacheId="1190965850">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14199C7-FCA8-42C0-8852-2072DD43072B}" sourceName="Product">
  <pivotTables>
    <pivotTable tabId="4" name="Sales_by_Product"/>
  </pivotTables>
  <data>
    <tabular pivotCacheId="1190965850">
      <items count="5">
        <i x="1" s="1"/>
        <i x="0"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540267F-A410-4B00-926C-DA4F664D91BE}" sourceName="Month">
  <pivotTables>
    <pivotTable tabId="5" name="Monthly_Sales"/>
  </pivotTables>
  <data>
    <tabular pivotCacheId="1190965850">
      <items count="12">
        <i x="0" s="1"/>
        <i x="3" s="1"/>
        <i x="6" s="1"/>
        <i x="11" s="1"/>
        <i x="8" s="1"/>
        <i x="9" s="1"/>
        <i x="10" s="1"/>
        <i x="4" s="1"/>
        <i x="7" s="1"/>
        <i x="1" s="1"/>
        <i x="2"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F440ABB-C0F5-4210-AF85-B77F90636C96}" sourceName="Year">
  <pivotTables>
    <pivotTable tabId="7" name="Profit_by_year"/>
  </pivotTables>
  <data>
    <tabular pivotCacheId="119096585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56C6F79-2C64-43B3-8154-98C6966D2EDE}"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FB4029E-4D51-4A1A-BF66-3404C7AE9BB7}" cache="Slicer_Region" caption="Region" style="SlicerStyleLight6" rowHeight="234950"/>
  <slicer name="Month 1" xr10:uid="{82FE75F6-53A6-4F96-8399-809BBE0BE1A8}" cache="Slicer_Month" caption="Month" style="SlicerStyleLight6" rowHeight="234950"/>
  <slicer name="Year 1" xr10:uid="{7A87590A-3748-4A50-B115-59DAD978C7CE}" cache="Slicer_Year" caption="Year"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8E474A8-6F4C-445B-9A64-C80EB6648C86}" cache="Slicer_Product" caption="Produc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54B11B4-EA62-478B-9C12-6AE1EC232CC7}" cache="Slicer_Month" caption="Month"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D93F6BA-4659-426A-AB39-628D29ECD3ED}"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A02C19-3545-401D-ABDC-58B628CF6B0D}" name="Table1" displayName="Table1" ref="A1:J483" totalsRowShown="0" headerRowDxfId="1" tableBorderDxfId="0">
  <autoFilter ref="A1:J483" xr:uid="{2BA02C19-3545-401D-ABDC-58B628CF6B0D}"/>
  <tableColumns count="10">
    <tableColumn id="1" xr3:uid="{D5008D74-108A-4711-88B5-54228084CDCD}" name="Order_ID"/>
    <tableColumn id="2" xr3:uid="{CD8AB87F-D55B-46D0-B450-6B913F266045}" name="Order_Date"/>
    <tableColumn id="3" xr3:uid="{06D5929D-B38B-41DB-B7F1-E3A5DCF2F210}" name="Customer"/>
    <tableColumn id="4" xr3:uid="{47F1BFC0-789A-4EDA-A634-62997520DBB7}" name="Region"/>
    <tableColumn id="5" xr3:uid="{450BEA69-46A7-45CD-95C6-CF866C0C7D0B}" name="Product"/>
    <tableColumn id="6" xr3:uid="{4C085EA2-468D-4D08-8475-4BB08BD3BB57}" name="Sales"/>
    <tableColumn id="7" xr3:uid="{AEDEE7B8-147A-406D-AE3B-8B4F8288587B}" name="Cost"/>
    <tableColumn id="8" xr3:uid="{36DF57A0-AB6F-43A6-99C0-11F4E907F51D}" name="Profit">
      <calculatedColumnFormula>F2-G2</calculatedColumnFormula>
    </tableColumn>
    <tableColumn id="9" xr3:uid="{067EB14A-04E5-4263-9003-EAE25C4BD260}" name="Year">
      <calculatedColumnFormula>TEXT(B2,"yyyy")</calculatedColumnFormula>
    </tableColumn>
    <tableColumn id="10" xr3:uid="{7E1A3A1E-6409-4750-82F0-D5AD057D45E1}" name="Month">
      <calculatedColumnFormula>TEXT(B2,"mm")</calculatedColumnFormula>
    </tableColumn>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21"/>
  <sheetViews>
    <sheetView zoomScale="145" zoomScaleNormal="145" workbookViewId="0">
      <selection activeCell="C17" sqref="A1:G521"/>
    </sheetView>
  </sheetViews>
  <sheetFormatPr defaultRowHeight="14.4" x14ac:dyDescent="0.3"/>
  <cols>
    <col min="1" max="1" width="9" bestFit="1" customWidth="1"/>
    <col min="2" max="2" width="11.33203125" bestFit="1" customWidth="1"/>
    <col min="3" max="3" width="9.5546875" bestFit="1" customWidth="1"/>
    <col min="4" max="4" width="7.109375" bestFit="1" customWidth="1"/>
    <col min="5" max="5" width="8.109375" bestFit="1" customWidth="1"/>
    <col min="6" max="7" width="6.33203125" bestFit="1" customWidth="1"/>
  </cols>
  <sheetData>
    <row r="1" spans="1:7" x14ac:dyDescent="0.3">
      <c r="A1" s="1" t="s">
        <v>0</v>
      </c>
      <c r="B1" s="1" t="s">
        <v>1</v>
      </c>
      <c r="C1" s="1" t="s">
        <v>2</v>
      </c>
      <c r="D1" s="1" t="s">
        <v>3</v>
      </c>
      <c r="E1" s="1" t="s">
        <v>4</v>
      </c>
      <c r="F1" s="1" t="s">
        <v>5</v>
      </c>
      <c r="G1" s="1" t="s">
        <v>6</v>
      </c>
    </row>
    <row r="2" spans="1:7" x14ac:dyDescent="0.3">
      <c r="A2" s="2">
        <v>1001</v>
      </c>
      <c r="B2" s="3">
        <v>44939</v>
      </c>
      <c r="C2" s="2" t="s">
        <v>7</v>
      </c>
      <c r="D2" s="2" t="s">
        <v>17</v>
      </c>
      <c r="E2" s="2" t="s">
        <v>21</v>
      </c>
      <c r="F2" s="2">
        <v>23289</v>
      </c>
      <c r="G2" s="2">
        <v>19118</v>
      </c>
    </row>
    <row r="3" spans="1:7" x14ac:dyDescent="0.3">
      <c r="A3" s="2">
        <v>1002</v>
      </c>
      <c r="B3" s="3">
        <v>45206</v>
      </c>
      <c r="C3" s="2" t="s">
        <v>8</v>
      </c>
      <c r="D3" s="2" t="s">
        <v>18</v>
      </c>
      <c r="E3" s="2" t="s">
        <v>22</v>
      </c>
      <c r="F3" s="2">
        <v>8905</v>
      </c>
      <c r="G3" s="2">
        <v>5593</v>
      </c>
    </row>
    <row r="4" spans="1:7" x14ac:dyDescent="0.3">
      <c r="A4" s="2">
        <v>1003</v>
      </c>
      <c r="B4" s="3">
        <v>45235</v>
      </c>
      <c r="C4" s="2" t="s">
        <v>9</v>
      </c>
      <c r="D4" s="2" t="s">
        <v>17</v>
      </c>
      <c r="E4" s="2" t="s">
        <v>23</v>
      </c>
      <c r="F4" s="2">
        <v>59987</v>
      </c>
      <c r="G4" s="2">
        <v>39959</v>
      </c>
    </row>
    <row r="5" spans="1:7" x14ac:dyDescent="0.3">
      <c r="A5" s="2">
        <v>1004</v>
      </c>
      <c r="B5" s="3">
        <v>45341</v>
      </c>
      <c r="C5" s="2" t="s">
        <v>9</v>
      </c>
      <c r="D5" s="2" t="s">
        <v>17</v>
      </c>
      <c r="E5" s="2" t="s">
        <v>24</v>
      </c>
      <c r="F5" s="2">
        <v>49597</v>
      </c>
      <c r="G5" s="2">
        <v>33892</v>
      </c>
    </row>
    <row r="6" spans="1:7" x14ac:dyDescent="0.3">
      <c r="A6" s="2">
        <v>1005</v>
      </c>
      <c r="B6" s="3">
        <v>45317</v>
      </c>
      <c r="C6" s="2" t="s">
        <v>10</v>
      </c>
      <c r="D6" s="2" t="s">
        <v>19</v>
      </c>
      <c r="E6" s="2" t="s">
        <v>22</v>
      </c>
      <c r="F6" s="2">
        <v>54797</v>
      </c>
      <c r="G6" s="2">
        <v>34468</v>
      </c>
    </row>
    <row r="7" spans="1:7" x14ac:dyDescent="0.3">
      <c r="A7" s="2">
        <v>1006</v>
      </c>
      <c r="B7" s="3">
        <v>45236</v>
      </c>
      <c r="C7" s="2" t="s">
        <v>7</v>
      </c>
      <c r="D7" s="2" t="s">
        <v>19</v>
      </c>
      <c r="E7" s="2" t="s">
        <v>24</v>
      </c>
      <c r="F7" s="2">
        <v>75284</v>
      </c>
      <c r="G7" s="2">
        <v>47989</v>
      </c>
    </row>
    <row r="8" spans="1:7" x14ac:dyDescent="0.3">
      <c r="A8" s="2">
        <v>1007</v>
      </c>
      <c r="B8" s="3">
        <v>44967</v>
      </c>
      <c r="C8" s="2" t="s">
        <v>11</v>
      </c>
      <c r="D8" s="2" t="s">
        <v>20</v>
      </c>
      <c r="E8" s="2" t="s">
        <v>23</v>
      </c>
      <c r="F8" s="2">
        <v>52400</v>
      </c>
      <c r="G8" s="2">
        <v>40515</v>
      </c>
    </row>
    <row r="9" spans="1:7" x14ac:dyDescent="0.3">
      <c r="A9" s="2">
        <v>1008</v>
      </c>
      <c r="B9" s="3">
        <v>44950</v>
      </c>
      <c r="C9" s="2" t="s">
        <v>12</v>
      </c>
      <c r="D9" s="2" t="s">
        <v>20</v>
      </c>
      <c r="E9" s="2" t="s">
        <v>22</v>
      </c>
      <c r="F9" s="2">
        <v>35512</v>
      </c>
      <c r="G9" s="2">
        <v>30538</v>
      </c>
    </row>
    <row r="10" spans="1:7" x14ac:dyDescent="0.3">
      <c r="A10" s="2">
        <v>1009</v>
      </c>
      <c r="B10" s="3">
        <v>45159</v>
      </c>
      <c r="C10" s="2" t="s">
        <v>10</v>
      </c>
      <c r="D10" s="2" t="s">
        <v>17</v>
      </c>
      <c r="E10" s="2" t="s">
        <v>25</v>
      </c>
      <c r="F10" s="2">
        <v>51566</v>
      </c>
      <c r="G10" s="2">
        <v>34180</v>
      </c>
    </row>
    <row r="11" spans="1:7" x14ac:dyDescent="0.3">
      <c r="A11" s="2">
        <v>1010</v>
      </c>
      <c r="B11" s="3">
        <v>45276</v>
      </c>
      <c r="C11" s="2" t="s">
        <v>8</v>
      </c>
      <c r="D11" s="2" t="s">
        <v>17</v>
      </c>
      <c r="E11" s="2" t="s">
        <v>23</v>
      </c>
      <c r="F11" s="2">
        <v>37087</v>
      </c>
      <c r="G11" s="2">
        <v>24070</v>
      </c>
    </row>
    <row r="12" spans="1:7" x14ac:dyDescent="0.3">
      <c r="A12" s="2">
        <v>1011</v>
      </c>
      <c r="B12" s="3">
        <v>45254</v>
      </c>
      <c r="C12" s="2" t="s">
        <v>11</v>
      </c>
      <c r="D12" s="2" t="s">
        <v>17</v>
      </c>
      <c r="E12" s="2" t="s">
        <v>25</v>
      </c>
      <c r="F12" s="2">
        <v>12331</v>
      </c>
      <c r="G12" s="2">
        <v>8245</v>
      </c>
    </row>
    <row r="13" spans="1:7" x14ac:dyDescent="0.3">
      <c r="A13" s="2">
        <v>1012</v>
      </c>
      <c r="B13" s="3"/>
      <c r="C13" s="2" t="s">
        <v>10</v>
      </c>
      <c r="D13" s="2" t="s">
        <v>18</v>
      </c>
      <c r="E13" s="2" t="s">
        <v>25</v>
      </c>
      <c r="F13" s="2">
        <v>13675</v>
      </c>
      <c r="G13" s="2">
        <v>9070</v>
      </c>
    </row>
    <row r="14" spans="1:7" x14ac:dyDescent="0.3">
      <c r="A14" s="2">
        <v>1013</v>
      </c>
      <c r="B14" s="3">
        <v>45375</v>
      </c>
      <c r="C14" s="2" t="s">
        <v>10</v>
      </c>
      <c r="D14" s="2" t="s">
        <v>17</v>
      </c>
      <c r="E14" s="2" t="s">
        <v>24</v>
      </c>
      <c r="F14" s="2">
        <v>56856</v>
      </c>
      <c r="G14" s="2">
        <v>49203</v>
      </c>
    </row>
    <row r="15" spans="1:7" x14ac:dyDescent="0.3">
      <c r="A15" s="2">
        <v>1014</v>
      </c>
      <c r="B15" s="3">
        <v>45000</v>
      </c>
      <c r="C15" s="2" t="s">
        <v>7</v>
      </c>
      <c r="D15" s="2" t="s">
        <v>17</v>
      </c>
      <c r="E15" s="2" t="s">
        <v>21</v>
      </c>
      <c r="F15" s="2">
        <v>78579</v>
      </c>
      <c r="G15" s="2">
        <v>59853</v>
      </c>
    </row>
    <row r="16" spans="1:7" x14ac:dyDescent="0.3">
      <c r="A16" s="2">
        <v>1015</v>
      </c>
      <c r="B16" s="3">
        <v>45146</v>
      </c>
      <c r="C16" s="2" t="s">
        <v>13</v>
      </c>
      <c r="D16" s="2" t="s">
        <v>18</v>
      </c>
      <c r="E16" s="2" t="s">
        <v>25</v>
      </c>
      <c r="F16" s="2">
        <v>33746</v>
      </c>
      <c r="G16" s="2">
        <v>30344</v>
      </c>
    </row>
    <row r="17" spans="1:7" x14ac:dyDescent="0.3">
      <c r="A17" s="2">
        <v>1016</v>
      </c>
      <c r="B17" s="3">
        <v>45179</v>
      </c>
      <c r="C17" s="2" t="s">
        <v>8</v>
      </c>
      <c r="D17" s="2" t="s">
        <v>19</v>
      </c>
      <c r="E17" s="2" t="s">
        <v>22</v>
      </c>
      <c r="F17" s="2">
        <v>25033</v>
      </c>
      <c r="G17" s="2">
        <v>19731</v>
      </c>
    </row>
    <row r="18" spans="1:7" x14ac:dyDescent="0.3">
      <c r="A18" s="2">
        <v>1017</v>
      </c>
      <c r="B18" s="3">
        <v>45143</v>
      </c>
      <c r="C18" s="2" t="s">
        <v>13</v>
      </c>
      <c r="D18" s="2" t="s">
        <v>19</v>
      </c>
      <c r="E18" s="2" t="s">
        <v>24</v>
      </c>
      <c r="F18" s="2">
        <v>55019</v>
      </c>
      <c r="G18" s="2">
        <v>42846</v>
      </c>
    </row>
    <row r="19" spans="1:7" x14ac:dyDescent="0.3">
      <c r="A19" s="2">
        <v>1018</v>
      </c>
      <c r="B19" s="3">
        <v>45055</v>
      </c>
      <c r="C19" s="2" t="s">
        <v>11</v>
      </c>
      <c r="D19" s="2" t="s">
        <v>19</v>
      </c>
      <c r="E19" s="2" t="s">
        <v>22</v>
      </c>
      <c r="F19" s="2">
        <v>75381</v>
      </c>
      <c r="G19" s="2">
        <v>62209</v>
      </c>
    </row>
    <row r="20" spans="1:7" x14ac:dyDescent="0.3">
      <c r="A20" s="2">
        <v>1019</v>
      </c>
      <c r="B20" s="3">
        <v>45101</v>
      </c>
      <c r="C20" s="2" t="s">
        <v>8</v>
      </c>
      <c r="D20" s="2" t="s">
        <v>20</v>
      </c>
      <c r="E20" s="2" t="s">
        <v>24</v>
      </c>
      <c r="F20" s="2">
        <v>25730</v>
      </c>
      <c r="G20" s="2">
        <v>18940</v>
      </c>
    </row>
    <row r="21" spans="1:7" x14ac:dyDescent="0.3">
      <c r="A21" s="2">
        <v>1020</v>
      </c>
      <c r="B21" s="3">
        <v>45375</v>
      </c>
      <c r="C21" s="2" t="s">
        <v>7</v>
      </c>
      <c r="D21" s="2" t="s">
        <v>17</v>
      </c>
      <c r="E21" s="2" t="s">
        <v>23</v>
      </c>
      <c r="F21" s="2">
        <v>18947</v>
      </c>
      <c r="G21" s="2">
        <v>16316</v>
      </c>
    </row>
    <row r="22" spans="1:7" x14ac:dyDescent="0.3">
      <c r="A22" s="2">
        <v>1021</v>
      </c>
      <c r="B22" s="3">
        <v>45254</v>
      </c>
      <c r="C22" s="2" t="s">
        <v>11</v>
      </c>
      <c r="D22" s="2" t="s">
        <v>17</v>
      </c>
      <c r="E22" s="2" t="s">
        <v>21</v>
      </c>
      <c r="F22" s="2">
        <v>54009</v>
      </c>
      <c r="G22" s="2">
        <v>44760</v>
      </c>
    </row>
    <row r="23" spans="1:7" x14ac:dyDescent="0.3">
      <c r="A23" s="2">
        <v>1022</v>
      </c>
      <c r="B23" s="3">
        <v>45325</v>
      </c>
      <c r="C23" s="2" t="s">
        <v>11</v>
      </c>
      <c r="D23" s="2" t="s">
        <v>19</v>
      </c>
      <c r="E23" s="2" t="s">
        <v>23</v>
      </c>
      <c r="F23" s="2">
        <v>47487</v>
      </c>
      <c r="G23" s="2">
        <v>35452</v>
      </c>
    </row>
    <row r="24" spans="1:7" x14ac:dyDescent="0.3">
      <c r="A24" s="2">
        <v>1023</v>
      </c>
      <c r="B24" s="3">
        <v>45112</v>
      </c>
      <c r="C24" s="2" t="s">
        <v>7</v>
      </c>
      <c r="D24" s="2" t="s">
        <v>17</v>
      </c>
      <c r="E24" s="2" t="s">
        <v>22</v>
      </c>
      <c r="F24" s="2">
        <v>36571</v>
      </c>
      <c r="G24" s="2">
        <v>31575</v>
      </c>
    </row>
    <row r="25" spans="1:7" x14ac:dyDescent="0.3">
      <c r="A25" s="2">
        <v>1024</v>
      </c>
      <c r="B25" s="3">
        <v>44970</v>
      </c>
      <c r="C25" s="2" t="s">
        <v>14</v>
      </c>
      <c r="D25" s="2" t="s">
        <v>19</v>
      </c>
      <c r="E25" s="2" t="s">
        <v>23</v>
      </c>
      <c r="F25" s="2">
        <v>21483</v>
      </c>
      <c r="G25" s="2">
        <v>13717</v>
      </c>
    </row>
    <row r="26" spans="1:7" x14ac:dyDescent="0.3">
      <c r="A26" s="2">
        <v>1025</v>
      </c>
      <c r="B26" s="3">
        <v>45208</v>
      </c>
      <c r="C26" s="2" t="s">
        <v>15</v>
      </c>
      <c r="D26" s="2" t="s">
        <v>20</v>
      </c>
      <c r="E26" s="2" t="s">
        <v>23</v>
      </c>
      <c r="F26" s="2">
        <v>60461</v>
      </c>
      <c r="G26" s="2">
        <v>53768</v>
      </c>
    </row>
    <row r="27" spans="1:7" x14ac:dyDescent="0.3">
      <c r="A27" s="2">
        <v>1026</v>
      </c>
      <c r="B27" s="3">
        <v>45313</v>
      </c>
      <c r="C27" s="2" t="s">
        <v>12</v>
      </c>
      <c r="D27" s="2" t="s">
        <v>20</v>
      </c>
      <c r="E27" s="2" t="s">
        <v>24</v>
      </c>
      <c r="F27" s="2">
        <v>53944</v>
      </c>
      <c r="G27" s="2">
        <v>39456</v>
      </c>
    </row>
    <row r="28" spans="1:7" x14ac:dyDescent="0.3">
      <c r="A28" s="2">
        <v>1027</v>
      </c>
      <c r="B28" s="3">
        <v>44988</v>
      </c>
      <c r="C28" s="2" t="s">
        <v>12</v>
      </c>
      <c r="D28" s="2" t="s">
        <v>17</v>
      </c>
      <c r="E28" s="2" t="s">
        <v>22</v>
      </c>
      <c r="F28" s="2">
        <v>49313</v>
      </c>
      <c r="G28" s="2">
        <v>29898</v>
      </c>
    </row>
    <row r="29" spans="1:7" x14ac:dyDescent="0.3">
      <c r="A29" s="2">
        <v>1028</v>
      </c>
      <c r="B29" s="3">
        <v>45228</v>
      </c>
      <c r="C29" s="2" t="s">
        <v>12</v>
      </c>
      <c r="D29" s="2" t="s">
        <v>19</v>
      </c>
      <c r="E29" s="2" t="s">
        <v>22</v>
      </c>
      <c r="F29" s="2">
        <v>12716</v>
      </c>
      <c r="G29" s="2">
        <v>8502</v>
      </c>
    </row>
    <row r="30" spans="1:7" x14ac:dyDescent="0.3">
      <c r="A30" s="2">
        <v>1029</v>
      </c>
      <c r="B30" s="3">
        <v>45367</v>
      </c>
      <c r="C30" s="2" t="s">
        <v>10</v>
      </c>
      <c r="D30" s="2" t="s">
        <v>19</v>
      </c>
      <c r="E30" s="2" t="s">
        <v>23</v>
      </c>
      <c r="F30" s="2">
        <v>36195</v>
      </c>
      <c r="G30" s="2">
        <v>24740</v>
      </c>
    </row>
    <row r="31" spans="1:7" x14ac:dyDescent="0.3">
      <c r="A31" s="2">
        <v>1030</v>
      </c>
      <c r="B31" s="3">
        <v>45203</v>
      </c>
      <c r="C31" s="2" t="s">
        <v>15</v>
      </c>
      <c r="D31" s="2" t="s">
        <v>18</v>
      </c>
      <c r="E31" s="2" t="s">
        <v>21</v>
      </c>
      <c r="F31" s="2">
        <v>66993</v>
      </c>
      <c r="G31" s="2">
        <v>56424</v>
      </c>
    </row>
    <row r="32" spans="1:7" x14ac:dyDescent="0.3">
      <c r="A32" s="2">
        <v>1031</v>
      </c>
      <c r="B32" s="3">
        <v>44976</v>
      </c>
      <c r="C32" s="2" t="s">
        <v>16</v>
      </c>
      <c r="D32" s="2" t="s">
        <v>20</v>
      </c>
      <c r="E32" s="2" t="s">
        <v>24</v>
      </c>
      <c r="F32" s="2">
        <v>58883</v>
      </c>
      <c r="G32" s="2">
        <v>43579</v>
      </c>
    </row>
    <row r="33" spans="1:7" x14ac:dyDescent="0.3">
      <c r="A33" s="2">
        <v>1032</v>
      </c>
      <c r="B33" s="3">
        <v>45271</v>
      </c>
      <c r="C33" s="2" t="s">
        <v>8</v>
      </c>
      <c r="D33" s="2" t="s">
        <v>19</v>
      </c>
      <c r="E33" s="2" t="s">
        <v>24</v>
      </c>
      <c r="F33" s="2">
        <v>49473</v>
      </c>
      <c r="G33" s="2">
        <v>41566</v>
      </c>
    </row>
    <row r="34" spans="1:7" x14ac:dyDescent="0.3">
      <c r="A34" s="2">
        <v>1033</v>
      </c>
      <c r="B34" s="3">
        <v>45025</v>
      </c>
      <c r="C34" s="2" t="s">
        <v>12</v>
      </c>
      <c r="D34" s="2" t="s">
        <v>18</v>
      </c>
      <c r="E34" s="2" t="s">
        <v>21</v>
      </c>
      <c r="F34" s="2">
        <v>60296</v>
      </c>
      <c r="G34" s="2">
        <v>39496</v>
      </c>
    </row>
    <row r="35" spans="1:7" x14ac:dyDescent="0.3">
      <c r="A35" s="2">
        <v>1034</v>
      </c>
      <c r="B35" s="3">
        <v>45374</v>
      </c>
      <c r="C35" s="2" t="s">
        <v>8</v>
      </c>
      <c r="D35" s="2" t="s">
        <v>18</v>
      </c>
      <c r="E35" s="2" t="s">
        <v>23</v>
      </c>
      <c r="F35" s="2">
        <v>17833</v>
      </c>
      <c r="G35" s="2">
        <v>10970</v>
      </c>
    </row>
    <row r="36" spans="1:7" x14ac:dyDescent="0.3">
      <c r="A36" s="2">
        <v>1035</v>
      </c>
      <c r="B36" s="3">
        <v>45355</v>
      </c>
      <c r="C36" s="2" t="s">
        <v>9</v>
      </c>
      <c r="D36" s="2" t="s">
        <v>19</v>
      </c>
      <c r="E36" s="2" t="s">
        <v>21</v>
      </c>
      <c r="F36" s="2">
        <v>26798</v>
      </c>
      <c r="G36" s="2">
        <v>19346</v>
      </c>
    </row>
    <row r="37" spans="1:7" x14ac:dyDescent="0.3">
      <c r="A37" s="2">
        <v>1036</v>
      </c>
      <c r="B37" s="3">
        <v>45369</v>
      </c>
      <c r="C37" s="2" t="s">
        <v>16</v>
      </c>
      <c r="D37" s="2" t="s">
        <v>19</v>
      </c>
      <c r="E37" s="2" t="s">
        <v>21</v>
      </c>
      <c r="F37" s="2">
        <v>54672</v>
      </c>
      <c r="G37" s="2">
        <v>32838</v>
      </c>
    </row>
    <row r="38" spans="1:7" x14ac:dyDescent="0.3">
      <c r="A38" s="2">
        <v>1037</v>
      </c>
      <c r="B38" s="3">
        <v>45328</v>
      </c>
      <c r="C38" s="2" t="s">
        <v>14</v>
      </c>
      <c r="D38" s="2" t="s">
        <v>20</v>
      </c>
      <c r="E38" s="2" t="s">
        <v>24</v>
      </c>
      <c r="F38" s="2">
        <v>77845</v>
      </c>
      <c r="G38" s="2">
        <v>62164</v>
      </c>
    </row>
    <row r="39" spans="1:7" x14ac:dyDescent="0.3">
      <c r="A39" s="2">
        <v>1038</v>
      </c>
      <c r="B39" s="3">
        <v>45024</v>
      </c>
      <c r="C39" s="2" t="s">
        <v>7</v>
      </c>
      <c r="D39" s="2" t="s">
        <v>17</v>
      </c>
      <c r="E39" s="2" t="s">
        <v>22</v>
      </c>
      <c r="F39" s="2">
        <v>76066</v>
      </c>
      <c r="G39" s="2">
        <v>47030</v>
      </c>
    </row>
    <row r="40" spans="1:7" x14ac:dyDescent="0.3">
      <c r="A40" s="2">
        <v>1039</v>
      </c>
      <c r="B40" s="3">
        <v>44952</v>
      </c>
      <c r="C40" s="2" t="s">
        <v>13</v>
      </c>
      <c r="D40" s="2" t="s">
        <v>18</v>
      </c>
      <c r="E40" s="2" t="s">
        <v>23</v>
      </c>
      <c r="F40" s="2">
        <v>74615</v>
      </c>
      <c r="G40" s="2">
        <v>48293</v>
      </c>
    </row>
    <row r="41" spans="1:7" x14ac:dyDescent="0.3">
      <c r="A41" s="2">
        <v>1040</v>
      </c>
      <c r="B41" s="3">
        <v>44968</v>
      </c>
      <c r="C41" s="2" t="s">
        <v>15</v>
      </c>
      <c r="D41" s="2" t="s">
        <v>19</v>
      </c>
      <c r="E41" s="2" t="s">
        <v>23</v>
      </c>
      <c r="F41" s="2">
        <v>13907</v>
      </c>
      <c r="G41" s="2">
        <v>11161</v>
      </c>
    </row>
    <row r="42" spans="1:7" x14ac:dyDescent="0.3">
      <c r="A42" s="2">
        <v>1041</v>
      </c>
      <c r="B42" s="3">
        <v>44988</v>
      </c>
      <c r="C42" s="2" t="s">
        <v>13</v>
      </c>
      <c r="D42" s="2" t="s">
        <v>17</v>
      </c>
      <c r="E42" s="2" t="s">
        <v>23</v>
      </c>
      <c r="F42" s="2">
        <v>10209</v>
      </c>
      <c r="G42" s="2">
        <v>8022</v>
      </c>
    </row>
    <row r="43" spans="1:7" x14ac:dyDescent="0.3">
      <c r="A43" s="2">
        <v>1042</v>
      </c>
      <c r="B43" s="3">
        <v>45225</v>
      </c>
      <c r="C43" s="2" t="s">
        <v>13</v>
      </c>
      <c r="D43" s="2" t="s">
        <v>20</v>
      </c>
      <c r="E43" s="2" t="s">
        <v>25</v>
      </c>
      <c r="F43" s="2">
        <v>31772</v>
      </c>
      <c r="G43" s="2">
        <v>25446</v>
      </c>
    </row>
    <row r="44" spans="1:7" x14ac:dyDescent="0.3">
      <c r="A44" s="2">
        <v>1043</v>
      </c>
      <c r="B44" s="3">
        <v>45062</v>
      </c>
      <c r="C44" s="2" t="s">
        <v>16</v>
      </c>
      <c r="D44" s="2" t="s">
        <v>17</v>
      </c>
      <c r="E44" s="2" t="s">
        <v>25</v>
      </c>
      <c r="F44" s="2">
        <v>64929</v>
      </c>
      <c r="G44" s="2">
        <v>45116</v>
      </c>
    </row>
    <row r="45" spans="1:7" x14ac:dyDescent="0.3">
      <c r="A45" s="2">
        <v>1044</v>
      </c>
      <c r="B45" s="3">
        <v>44964</v>
      </c>
      <c r="C45" s="2" t="s">
        <v>9</v>
      </c>
      <c r="D45" s="2" t="s">
        <v>18</v>
      </c>
      <c r="E45" s="2" t="s">
        <v>23</v>
      </c>
      <c r="F45" s="2">
        <v>78792</v>
      </c>
      <c r="G45" s="2">
        <v>70820</v>
      </c>
    </row>
    <row r="46" spans="1:7" x14ac:dyDescent="0.3">
      <c r="A46" s="2">
        <v>1045</v>
      </c>
      <c r="B46" s="3">
        <v>45036</v>
      </c>
      <c r="C46" s="2" t="s">
        <v>11</v>
      </c>
      <c r="D46" s="2" t="s">
        <v>20</v>
      </c>
      <c r="E46" s="2" t="s">
        <v>21</v>
      </c>
      <c r="F46" s="2">
        <v>50745</v>
      </c>
      <c r="G46" s="2">
        <v>43856</v>
      </c>
    </row>
    <row r="47" spans="1:7" x14ac:dyDescent="0.3">
      <c r="A47" s="2">
        <v>1046</v>
      </c>
      <c r="B47" s="3">
        <v>45116</v>
      </c>
      <c r="C47" s="2" t="s">
        <v>7</v>
      </c>
      <c r="D47" s="2" t="s">
        <v>17</v>
      </c>
      <c r="E47" s="2" t="s">
        <v>24</v>
      </c>
      <c r="F47" s="2">
        <v>76200</v>
      </c>
      <c r="G47" s="2">
        <v>61802</v>
      </c>
    </row>
    <row r="48" spans="1:7" x14ac:dyDescent="0.3">
      <c r="A48" s="2">
        <v>1047</v>
      </c>
      <c r="B48" s="3">
        <v>45340</v>
      </c>
      <c r="C48" s="2" t="s">
        <v>11</v>
      </c>
      <c r="D48" s="2" t="s">
        <v>19</v>
      </c>
      <c r="E48" s="2" t="s">
        <v>23</v>
      </c>
      <c r="F48" s="2">
        <v>44240</v>
      </c>
      <c r="G48" s="2">
        <v>38910</v>
      </c>
    </row>
    <row r="49" spans="1:7" x14ac:dyDescent="0.3">
      <c r="A49" s="2">
        <v>1048</v>
      </c>
      <c r="B49" s="3">
        <v>45376</v>
      </c>
      <c r="C49" s="2" t="s">
        <v>15</v>
      </c>
      <c r="D49" s="2" t="s">
        <v>20</v>
      </c>
      <c r="E49" s="2" t="s">
        <v>22</v>
      </c>
      <c r="F49" s="2">
        <v>19029</v>
      </c>
      <c r="G49" s="2">
        <v>15655</v>
      </c>
    </row>
    <row r="50" spans="1:7" x14ac:dyDescent="0.3">
      <c r="A50" s="2">
        <v>1049</v>
      </c>
      <c r="B50" s="3">
        <v>45071</v>
      </c>
      <c r="C50" s="2" t="s">
        <v>13</v>
      </c>
      <c r="D50" s="2" t="s">
        <v>17</v>
      </c>
      <c r="E50" s="2" t="s">
        <v>25</v>
      </c>
      <c r="F50" s="2">
        <v>31685</v>
      </c>
      <c r="G50" s="2">
        <v>25546</v>
      </c>
    </row>
    <row r="51" spans="1:7" x14ac:dyDescent="0.3">
      <c r="A51" s="2">
        <v>1050</v>
      </c>
      <c r="B51" s="3">
        <v>45185</v>
      </c>
      <c r="C51" s="2" t="s">
        <v>14</v>
      </c>
      <c r="D51" s="2" t="s">
        <v>20</v>
      </c>
      <c r="E51" s="2" t="s">
        <v>22</v>
      </c>
      <c r="F51" s="2">
        <v>17097</v>
      </c>
      <c r="G51" s="2">
        <v>13511</v>
      </c>
    </row>
    <row r="52" spans="1:7" x14ac:dyDescent="0.3">
      <c r="A52" s="2">
        <v>1051</v>
      </c>
      <c r="B52" s="3">
        <v>44949</v>
      </c>
      <c r="C52" s="2" t="s">
        <v>9</v>
      </c>
      <c r="D52" s="2" t="s">
        <v>20</v>
      </c>
      <c r="E52" s="2" t="s">
        <v>21</v>
      </c>
      <c r="F52" s="2">
        <v>39335</v>
      </c>
      <c r="G52" s="2">
        <v>25507</v>
      </c>
    </row>
    <row r="53" spans="1:7" x14ac:dyDescent="0.3">
      <c r="A53" s="2">
        <v>1052</v>
      </c>
      <c r="B53" s="3">
        <v>45288</v>
      </c>
      <c r="C53" s="2" t="s">
        <v>16</v>
      </c>
      <c r="D53" s="2" t="s">
        <v>19</v>
      </c>
      <c r="E53" s="2" t="s">
        <v>22</v>
      </c>
      <c r="F53" s="2">
        <v>14862</v>
      </c>
      <c r="G53" s="2">
        <v>13130</v>
      </c>
    </row>
    <row r="54" spans="1:7" x14ac:dyDescent="0.3">
      <c r="A54" s="2">
        <v>1053</v>
      </c>
      <c r="B54" s="3">
        <v>45003</v>
      </c>
      <c r="C54" s="2" t="s">
        <v>11</v>
      </c>
      <c r="D54" s="2" t="s">
        <v>19</v>
      </c>
      <c r="E54" s="2" t="s">
        <v>25</v>
      </c>
      <c r="F54" s="2">
        <v>77420</v>
      </c>
      <c r="G54" s="2">
        <v>49891</v>
      </c>
    </row>
    <row r="55" spans="1:7" x14ac:dyDescent="0.3">
      <c r="A55" s="2">
        <v>1054</v>
      </c>
      <c r="B55" s="3">
        <v>45084</v>
      </c>
      <c r="C55" s="2" t="s">
        <v>10</v>
      </c>
      <c r="D55" s="2" t="s">
        <v>19</v>
      </c>
      <c r="E55" s="2" t="s">
        <v>25</v>
      </c>
      <c r="F55" s="2">
        <v>32535</v>
      </c>
      <c r="G55" s="2">
        <v>26178</v>
      </c>
    </row>
    <row r="56" spans="1:7" x14ac:dyDescent="0.3">
      <c r="A56" s="2">
        <v>1055</v>
      </c>
      <c r="B56" s="3">
        <v>45108</v>
      </c>
      <c r="C56" s="2" t="s">
        <v>11</v>
      </c>
      <c r="D56" s="2" t="s">
        <v>18</v>
      </c>
      <c r="E56" s="2" t="s">
        <v>23</v>
      </c>
      <c r="F56" s="2">
        <v>25257</v>
      </c>
      <c r="G56" s="2">
        <v>22168</v>
      </c>
    </row>
    <row r="57" spans="1:7" x14ac:dyDescent="0.3">
      <c r="A57" s="2">
        <v>1056</v>
      </c>
      <c r="B57" s="3">
        <v>45010</v>
      </c>
      <c r="C57" s="2" t="s">
        <v>15</v>
      </c>
      <c r="D57" s="2" t="s">
        <v>18</v>
      </c>
      <c r="E57" s="2" t="s">
        <v>22</v>
      </c>
      <c r="F57" s="2">
        <v>28509</v>
      </c>
      <c r="G57" s="2">
        <v>23405</v>
      </c>
    </row>
    <row r="58" spans="1:7" x14ac:dyDescent="0.3">
      <c r="A58" s="2">
        <v>1057</v>
      </c>
      <c r="B58" s="3">
        <v>45137</v>
      </c>
      <c r="C58" s="2" t="s">
        <v>12</v>
      </c>
      <c r="D58" s="2" t="s">
        <v>20</v>
      </c>
      <c r="E58" s="2" t="s">
        <v>21</v>
      </c>
      <c r="F58" s="2">
        <v>19168</v>
      </c>
      <c r="G58" s="2">
        <v>13700</v>
      </c>
    </row>
    <row r="59" spans="1:7" x14ac:dyDescent="0.3">
      <c r="A59" s="2">
        <v>1058</v>
      </c>
      <c r="B59" s="3"/>
      <c r="C59" s="2" t="s">
        <v>14</v>
      </c>
      <c r="D59" s="2" t="s">
        <v>17</v>
      </c>
      <c r="E59" s="2" t="s">
        <v>21</v>
      </c>
      <c r="F59" s="2">
        <v>65332</v>
      </c>
      <c r="G59" s="2">
        <v>46052</v>
      </c>
    </row>
    <row r="60" spans="1:7" x14ac:dyDescent="0.3">
      <c r="A60" s="2">
        <v>1059</v>
      </c>
      <c r="B60" s="3">
        <v>45373</v>
      </c>
      <c r="C60" s="2" t="s">
        <v>12</v>
      </c>
      <c r="D60" s="2" t="s">
        <v>17</v>
      </c>
      <c r="E60" s="2" t="s">
        <v>22</v>
      </c>
      <c r="F60" s="2">
        <v>30313</v>
      </c>
      <c r="G60" s="2">
        <v>21811</v>
      </c>
    </row>
    <row r="61" spans="1:7" x14ac:dyDescent="0.3">
      <c r="A61" s="2">
        <v>1060</v>
      </c>
      <c r="B61" s="3">
        <v>44962</v>
      </c>
      <c r="C61" s="2" t="s">
        <v>7</v>
      </c>
      <c r="D61" s="2" t="s">
        <v>20</v>
      </c>
      <c r="E61" s="2" t="s">
        <v>23</v>
      </c>
      <c r="F61" s="2">
        <v>57386</v>
      </c>
      <c r="G61" s="2">
        <v>46130</v>
      </c>
    </row>
    <row r="62" spans="1:7" x14ac:dyDescent="0.3">
      <c r="A62" s="2">
        <v>1061</v>
      </c>
      <c r="B62" s="3">
        <v>45096</v>
      </c>
      <c r="C62" s="2" t="s">
        <v>9</v>
      </c>
      <c r="D62" s="2" t="s">
        <v>19</v>
      </c>
      <c r="E62" s="2" t="s">
        <v>25</v>
      </c>
      <c r="F62" s="2">
        <v>28405</v>
      </c>
      <c r="G62" s="2">
        <v>21990</v>
      </c>
    </row>
    <row r="63" spans="1:7" x14ac:dyDescent="0.3">
      <c r="A63" s="2">
        <v>1062</v>
      </c>
      <c r="B63" s="3">
        <v>44946</v>
      </c>
      <c r="C63" s="2" t="s">
        <v>8</v>
      </c>
      <c r="D63" s="2" t="s">
        <v>18</v>
      </c>
      <c r="E63" s="2" t="s">
        <v>25</v>
      </c>
      <c r="F63" s="2">
        <v>46114</v>
      </c>
      <c r="G63" s="2">
        <v>33705</v>
      </c>
    </row>
    <row r="64" spans="1:7" x14ac:dyDescent="0.3">
      <c r="A64" s="2">
        <v>1063</v>
      </c>
      <c r="B64" s="3">
        <v>44986</v>
      </c>
      <c r="C64" s="2" t="s">
        <v>16</v>
      </c>
      <c r="D64" s="2" t="s">
        <v>17</v>
      </c>
      <c r="E64" s="2" t="s">
        <v>25</v>
      </c>
      <c r="F64" s="2">
        <v>10817</v>
      </c>
      <c r="G64" s="2">
        <v>8790</v>
      </c>
    </row>
    <row r="65" spans="1:7" x14ac:dyDescent="0.3">
      <c r="A65" s="2">
        <v>1064</v>
      </c>
      <c r="B65" s="3"/>
      <c r="C65" s="2" t="s">
        <v>11</v>
      </c>
      <c r="D65" s="2" t="s">
        <v>17</v>
      </c>
      <c r="E65" s="2" t="s">
        <v>25</v>
      </c>
      <c r="F65" s="2">
        <v>61531</v>
      </c>
      <c r="G65" s="2">
        <v>38210</v>
      </c>
    </row>
    <row r="66" spans="1:7" x14ac:dyDescent="0.3">
      <c r="A66" s="2">
        <v>1065</v>
      </c>
      <c r="B66" s="3">
        <v>45096</v>
      </c>
      <c r="C66" s="2" t="s">
        <v>13</v>
      </c>
      <c r="D66" s="2" t="s">
        <v>20</v>
      </c>
      <c r="E66" s="2" t="s">
        <v>22</v>
      </c>
      <c r="F66" s="2">
        <v>44363</v>
      </c>
      <c r="G66" s="2">
        <v>33367</v>
      </c>
    </row>
    <row r="67" spans="1:7" x14ac:dyDescent="0.3">
      <c r="A67" s="2">
        <v>1066</v>
      </c>
      <c r="B67" s="3">
        <v>45094</v>
      </c>
      <c r="C67" s="2" t="s">
        <v>16</v>
      </c>
      <c r="D67" s="2" t="s">
        <v>20</v>
      </c>
      <c r="E67" s="2" t="s">
        <v>23</v>
      </c>
      <c r="F67" s="2">
        <v>21683</v>
      </c>
      <c r="G67" s="2">
        <v>14257</v>
      </c>
    </row>
    <row r="68" spans="1:7" x14ac:dyDescent="0.3">
      <c r="A68" s="2">
        <v>1067</v>
      </c>
      <c r="B68" s="3">
        <v>45121</v>
      </c>
      <c r="C68" s="2" t="s">
        <v>15</v>
      </c>
      <c r="D68" s="2" t="s">
        <v>20</v>
      </c>
      <c r="E68" s="2" t="s">
        <v>24</v>
      </c>
      <c r="F68" s="2">
        <v>76819</v>
      </c>
      <c r="G68" s="2">
        <v>65305</v>
      </c>
    </row>
    <row r="69" spans="1:7" x14ac:dyDescent="0.3">
      <c r="A69" s="2">
        <v>1068</v>
      </c>
      <c r="B69" s="3">
        <v>45034</v>
      </c>
      <c r="C69" s="2" t="s">
        <v>16</v>
      </c>
      <c r="D69" s="2" t="s">
        <v>20</v>
      </c>
      <c r="E69" s="2" t="s">
        <v>24</v>
      </c>
      <c r="F69" s="2">
        <v>62905</v>
      </c>
      <c r="G69" s="2">
        <v>46087</v>
      </c>
    </row>
    <row r="70" spans="1:7" x14ac:dyDescent="0.3">
      <c r="A70" s="2">
        <v>1069</v>
      </c>
      <c r="B70" s="3">
        <v>45169</v>
      </c>
      <c r="C70" s="2" t="s">
        <v>15</v>
      </c>
      <c r="D70" s="2" t="s">
        <v>19</v>
      </c>
      <c r="E70" s="2" t="s">
        <v>25</v>
      </c>
      <c r="F70" s="2">
        <v>72561</v>
      </c>
      <c r="G70" s="2">
        <v>57987</v>
      </c>
    </row>
    <row r="71" spans="1:7" x14ac:dyDescent="0.3">
      <c r="A71" s="2">
        <v>1070</v>
      </c>
      <c r="B71" s="3">
        <v>44974</v>
      </c>
      <c r="C71" s="2" t="s">
        <v>12</v>
      </c>
      <c r="D71" s="2" t="s">
        <v>20</v>
      </c>
      <c r="E71" s="2" t="s">
        <v>21</v>
      </c>
      <c r="F71" s="2">
        <v>31100</v>
      </c>
      <c r="G71" s="2">
        <v>20034</v>
      </c>
    </row>
    <row r="72" spans="1:7" x14ac:dyDescent="0.3">
      <c r="A72" s="2">
        <v>1071</v>
      </c>
      <c r="B72" s="3"/>
      <c r="C72" s="2" t="s">
        <v>14</v>
      </c>
      <c r="D72" s="2" t="s">
        <v>19</v>
      </c>
      <c r="E72" s="2" t="s">
        <v>24</v>
      </c>
      <c r="F72" s="2">
        <v>59321</v>
      </c>
      <c r="G72" s="2">
        <v>51362</v>
      </c>
    </row>
    <row r="73" spans="1:7" x14ac:dyDescent="0.3">
      <c r="A73" s="2">
        <v>1072</v>
      </c>
      <c r="B73" s="3">
        <v>45294</v>
      </c>
      <c r="C73" s="2" t="s">
        <v>16</v>
      </c>
      <c r="D73" s="2" t="s">
        <v>18</v>
      </c>
      <c r="E73" s="2" t="s">
        <v>24</v>
      </c>
      <c r="F73" s="2">
        <v>36979</v>
      </c>
      <c r="G73" s="2">
        <v>23824</v>
      </c>
    </row>
    <row r="74" spans="1:7" x14ac:dyDescent="0.3">
      <c r="A74" s="2">
        <v>1073</v>
      </c>
      <c r="B74" s="3">
        <v>45311</v>
      </c>
      <c r="C74" s="2" t="s">
        <v>8</v>
      </c>
      <c r="D74" s="2" t="s">
        <v>18</v>
      </c>
      <c r="E74" s="2" t="s">
        <v>21</v>
      </c>
      <c r="F74" s="2">
        <v>28053</v>
      </c>
      <c r="G74" s="2">
        <v>23599</v>
      </c>
    </row>
    <row r="75" spans="1:7" x14ac:dyDescent="0.3">
      <c r="A75" s="2">
        <v>1074</v>
      </c>
      <c r="B75" s="3">
        <v>45164</v>
      </c>
      <c r="C75" s="2" t="s">
        <v>9</v>
      </c>
      <c r="D75" s="2" t="s">
        <v>17</v>
      </c>
      <c r="E75" s="2" t="s">
        <v>22</v>
      </c>
      <c r="F75" s="2">
        <v>64829</v>
      </c>
      <c r="G75" s="2">
        <v>41490</v>
      </c>
    </row>
    <row r="76" spans="1:7" x14ac:dyDescent="0.3">
      <c r="A76" s="2">
        <v>1075</v>
      </c>
      <c r="B76" s="3">
        <v>45198</v>
      </c>
      <c r="C76" s="2" t="s">
        <v>11</v>
      </c>
      <c r="D76" s="2" t="s">
        <v>20</v>
      </c>
      <c r="E76" s="2" t="s">
        <v>24</v>
      </c>
      <c r="F76" s="2">
        <v>71162</v>
      </c>
      <c r="G76" s="2">
        <v>51807</v>
      </c>
    </row>
    <row r="77" spans="1:7" x14ac:dyDescent="0.3">
      <c r="A77" s="2">
        <v>1076</v>
      </c>
      <c r="B77" s="3">
        <v>45155</v>
      </c>
      <c r="C77" s="2" t="s">
        <v>15</v>
      </c>
      <c r="D77" s="2" t="s">
        <v>18</v>
      </c>
      <c r="E77" s="2" t="s">
        <v>24</v>
      </c>
      <c r="F77" s="2">
        <v>38972</v>
      </c>
      <c r="G77" s="2">
        <v>32172</v>
      </c>
    </row>
    <row r="78" spans="1:7" x14ac:dyDescent="0.3">
      <c r="A78" s="2">
        <v>1077</v>
      </c>
      <c r="B78" s="3">
        <v>45068</v>
      </c>
      <c r="C78" s="2" t="s">
        <v>11</v>
      </c>
      <c r="D78" s="2" t="s">
        <v>18</v>
      </c>
      <c r="E78" s="2" t="s">
        <v>21</v>
      </c>
      <c r="F78" s="2">
        <v>40992</v>
      </c>
      <c r="G78" s="2">
        <v>30004</v>
      </c>
    </row>
    <row r="79" spans="1:7" x14ac:dyDescent="0.3">
      <c r="A79" s="2">
        <v>1078</v>
      </c>
      <c r="B79" s="3">
        <v>45047</v>
      </c>
      <c r="C79" s="2" t="s">
        <v>7</v>
      </c>
      <c r="D79" s="2" t="s">
        <v>20</v>
      </c>
      <c r="E79" s="2" t="s">
        <v>25</v>
      </c>
      <c r="F79" s="2">
        <v>75798</v>
      </c>
      <c r="G79" s="2">
        <v>47311</v>
      </c>
    </row>
    <row r="80" spans="1:7" x14ac:dyDescent="0.3">
      <c r="A80" s="2">
        <v>1079</v>
      </c>
      <c r="B80" s="3">
        <v>45123</v>
      </c>
      <c r="C80" s="2" t="s">
        <v>15</v>
      </c>
      <c r="D80" s="2" t="s">
        <v>17</v>
      </c>
      <c r="E80" s="2" t="s">
        <v>22</v>
      </c>
      <c r="F80" s="2">
        <v>59377</v>
      </c>
      <c r="G80" s="2">
        <v>42886</v>
      </c>
    </row>
    <row r="81" spans="1:7" x14ac:dyDescent="0.3">
      <c r="A81" s="2">
        <v>1080</v>
      </c>
      <c r="B81" s="3">
        <v>45139</v>
      </c>
      <c r="C81" s="2" t="s">
        <v>9</v>
      </c>
      <c r="D81" s="2" t="s">
        <v>17</v>
      </c>
      <c r="E81" s="2" t="s">
        <v>24</v>
      </c>
      <c r="F81" s="2">
        <v>56049</v>
      </c>
      <c r="G81" s="2">
        <v>48843</v>
      </c>
    </row>
    <row r="82" spans="1:7" x14ac:dyDescent="0.3">
      <c r="A82" s="2">
        <v>1081</v>
      </c>
      <c r="B82" s="3">
        <v>45283</v>
      </c>
      <c r="C82" s="2" t="s">
        <v>9</v>
      </c>
      <c r="D82" s="2" t="s">
        <v>18</v>
      </c>
      <c r="E82" s="2" t="s">
        <v>24</v>
      </c>
      <c r="F82" s="2">
        <v>5772</v>
      </c>
      <c r="G82" s="2">
        <v>5095</v>
      </c>
    </row>
    <row r="83" spans="1:7" x14ac:dyDescent="0.3">
      <c r="A83" s="2">
        <v>1082</v>
      </c>
      <c r="B83" s="3">
        <v>45126</v>
      </c>
      <c r="C83" s="2" t="s">
        <v>16</v>
      </c>
      <c r="D83" s="2" t="s">
        <v>17</v>
      </c>
      <c r="E83" s="2" t="s">
        <v>24</v>
      </c>
      <c r="F83" s="2">
        <v>33760</v>
      </c>
      <c r="G83" s="2">
        <v>23020</v>
      </c>
    </row>
    <row r="84" spans="1:7" x14ac:dyDescent="0.3">
      <c r="A84" s="2">
        <v>1083</v>
      </c>
      <c r="B84" s="3">
        <v>45126</v>
      </c>
      <c r="C84" s="2" t="s">
        <v>10</v>
      </c>
      <c r="D84" s="2" t="s">
        <v>18</v>
      </c>
      <c r="E84" s="2" t="s">
        <v>21</v>
      </c>
      <c r="F84" s="2">
        <v>66261</v>
      </c>
      <c r="G84" s="2">
        <v>58035</v>
      </c>
    </row>
    <row r="85" spans="1:7" x14ac:dyDescent="0.3">
      <c r="A85" s="2">
        <v>1084</v>
      </c>
      <c r="B85" s="3">
        <v>45200</v>
      </c>
      <c r="C85" s="2" t="s">
        <v>9</v>
      </c>
      <c r="D85" s="2" t="s">
        <v>18</v>
      </c>
      <c r="E85" s="2" t="s">
        <v>23</v>
      </c>
      <c r="F85" s="2">
        <v>78975</v>
      </c>
      <c r="G85" s="2">
        <v>63093</v>
      </c>
    </row>
    <row r="86" spans="1:7" x14ac:dyDescent="0.3">
      <c r="A86" s="2">
        <v>1085</v>
      </c>
      <c r="B86" s="3">
        <v>45146</v>
      </c>
      <c r="C86" s="2" t="s">
        <v>15</v>
      </c>
      <c r="D86" s="2" t="s">
        <v>18</v>
      </c>
      <c r="E86" s="2" t="s">
        <v>21</v>
      </c>
      <c r="F86" s="2">
        <v>11590</v>
      </c>
      <c r="G86" s="2">
        <v>7858</v>
      </c>
    </row>
    <row r="87" spans="1:7" x14ac:dyDescent="0.3">
      <c r="A87" s="2">
        <v>1086</v>
      </c>
      <c r="B87" s="3">
        <v>45159</v>
      </c>
      <c r="C87" s="2" t="s">
        <v>10</v>
      </c>
      <c r="D87" s="2" t="s">
        <v>20</v>
      </c>
      <c r="E87" s="2" t="s">
        <v>24</v>
      </c>
      <c r="F87" s="2">
        <v>41471</v>
      </c>
      <c r="G87" s="2">
        <v>34238</v>
      </c>
    </row>
    <row r="88" spans="1:7" x14ac:dyDescent="0.3">
      <c r="A88" s="2">
        <v>1087</v>
      </c>
      <c r="B88" s="3">
        <v>45056</v>
      </c>
      <c r="C88" s="2" t="s">
        <v>8</v>
      </c>
      <c r="D88" s="2" t="s">
        <v>18</v>
      </c>
      <c r="E88" s="2" t="s">
        <v>22</v>
      </c>
      <c r="F88" s="2">
        <v>75702</v>
      </c>
      <c r="G88" s="2">
        <v>46604</v>
      </c>
    </row>
    <row r="89" spans="1:7" x14ac:dyDescent="0.3">
      <c r="A89" s="2">
        <v>1088</v>
      </c>
      <c r="B89" s="3">
        <v>45041</v>
      </c>
      <c r="C89" s="2" t="s">
        <v>8</v>
      </c>
      <c r="D89" s="2" t="s">
        <v>19</v>
      </c>
      <c r="E89" s="2" t="s">
        <v>22</v>
      </c>
      <c r="F89" s="2">
        <v>37411</v>
      </c>
      <c r="G89" s="2">
        <v>24684</v>
      </c>
    </row>
    <row r="90" spans="1:7" x14ac:dyDescent="0.3">
      <c r="A90" s="2">
        <v>1089</v>
      </c>
      <c r="B90" s="3"/>
      <c r="C90" s="2" t="s">
        <v>15</v>
      </c>
      <c r="D90" s="2" t="s">
        <v>17</v>
      </c>
      <c r="E90" s="2" t="s">
        <v>21</v>
      </c>
      <c r="F90" s="2">
        <v>67070</v>
      </c>
      <c r="G90" s="2">
        <v>53712</v>
      </c>
    </row>
    <row r="91" spans="1:7" x14ac:dyDescent="0.3">
      <c r="A91" s="2">
        <v>1090</v>
      </c>
      <c r="B91" s="3">
        <v>45038</v>
      </c>
      <c r="C91" s="2" t="s">
        <v>14</v>
      </c>
      <c r="D91" s="2" t="s">
        <v>20</v>
      </c>
      <c r="E91" s="2" t="s">
        <v>25</v>
      </c>
      <c r="F91" s="2">
        <v>26992</v>
      </c>
      <c r="G91" s="2">
        <v>21101</v>
      </c>
    </row>
    <row r="92" spans="1:7" x14ac:dyDescent="0.3">
      <c r="A92" s="2">
        <v>1091</v>
      </c>
      <c r="B92" s="3">
        <v>45294</v>
      </c>
      <c r="C92" s="2" t="s">
        <v>8</v>
      </c>
      <c r="D92" s="2" t="s">
        <v>17</v>
      </c>
      <c r="E92" s="2" t="s">
        <v>25</v>
      </c>
      <c r="F92" s="2">
        <v>19168</v>
      </c>
      <c r="G92" s="2">
        <v>14828</v>
      </c>
    </row>
    <row r="93" spans="1:7" x14ac:dyDescent="0.3">
      <c r="A93" s="2">
        <v>1092</v>
      </c>
      <c r="B93" s="3">
        <v>45221</v>
      </c>
      <c r="C93" s="2" t="s">
        <v>16</v>
      </c>
      <c r="D93" s="2" t="s">
        <v>18</v>
      </c>
      <c r="E93" s="2" t="s">
        <v>21</v>
      </c>
      <c r="F93" s="2">
        <v>14961</v>
      </c>
      <c r="G93" s="2">
        <v>11634</v>
      </c>
    </row>
    <row r="94" spans="1:7" x14ac:dyDescent="0.3">
      <c r="A94" s="2">
        <v>1093</v>
      </c>
      <c r="B94" s="3">
        <v>45051</v>
      </c>
      <c r="C94" s="2" t="s">
        <v>8</v>
      </c>
      <c r="D94" s="2" t="s">
        <v>20</v>
      </c>
      <c r="E94" s="2" t="s">
        <v>23</v>
      </c>
      <c r="F94" s="2">
        <v>20866</v>
      </c>
      <c r="G94" s="2">
        <v>17503</v>
      </c>
    </row>
    <row r="95" spans="1:7" x14ac:dyDescent="0.3">
      <c r="A95" s="2">
        <v>1094</v>
      </c>
      <c r="B95" s="3">
        <v>44948</v>
      </c>
      <c r="C95" s="2" t="s">
        <v>10</v>
      </c>
      <c r="D95" s="2" t="s">
        <v>18</v>
      </c>
      <c r="E95" s="2" t="s">
        <v>25</v>
      </c>
      <c r="F95" s="2">
        <v>14038</v>
      </c>
      <c r="G95" s="2">
        <v>10553</v>
      </c>
    </row>
    <row r="96" spans="1:7" x14ac:dyDescent="0.3">
      <c r="A96" s="2">
        <v>1095</v>
      </c>
      <c r="B96" s="3">
        <v>45361</v>
      </c>
      <c r="C96" s="2" t="s">
        <v>16</v>
      </c>
      <c r="D96" s="2" t="s">
        <v>18</v>
      </c>
      <c r="E96" s="2" t="s">
        <v>22</v>
      </c>
      <c r="F96" s="2">
        <v>61822</v>
      </c>
      <c r="G96" s="2">
        <v>54912</v>
      </c>
    </row>
    <row r="97" spans="1:7" x14ac:dyDescent="0.3">
      <c r="A97" s="2">
        <v>1096</v>
      </c>
      <c r="B97" s="3">
        <v>45351</v>
      </c>
      <c r="C97" s="2" t="s">
        <v>14</v>
      </c>
      <c r="D97" s="2" t="s">
        <v>17</v>
      </c>
      <c r="E97" s="2" t="s">
        <v>24</v>
      </c>
      <c r="F97" s="2">
        <v>28086</v>
      </c>
      <c r="G97" s="2">
        <v>23034</v>
      </c>
    </row>
    <row r="98" spans="1:7" x14ac:dyDescent="0.3">
      <c r="A98" s="2">
        <v>1097</v>
      </c>
      <c r="B98" s="3">
        <v>45065</v>
      </c>
      <c r="C98" s="2" t="s">
        <v>13</v>
      </c>
      <c r="D98" s="2" t="s">
        <v>18</v>
      </c>
      <c r="E98" s="2" t="s">
        <v>24</v>
      </c>
      <c r="F98" s="2">
        <v>62091</v>
      </c>
      <c r="G98" s="2">
        <v>52635</v>
      </c>
    </row>
    <row r="99" spans="1:7" x14ac:dyDescent="0.3">
      <c r="A99" s="2">
        <v>1098</v>
      </c>
      <c r="B99" s="3">
        <v>45092</v>
      </c>
      <c r="C99" s="2" t="s">
        <v>12</v>
      </c>
      <c r="D99" s="2" t="s">
        <v>19</v>
      </c>
      <c r="E99" s="2" t="s">
        <v>25</v>
      </c>
      <c r="F99" s="2">
        <v>64087</v>
      </c>
      <c r="G99" s="2">
        <v>43140</v>
      </c>
    </row>
    <row r="100" spans="1:7" x14ac:dyDescent="0.3">
      <c r="A100" s="2">
        <v>1099</v>
      </c>
      <c r="B100" s="3">
        <v>45239</v>
      </c>
      <c r="C100" s="2" t="s">
        <v>16</v>
      </c>
      <c r="D100" s="2" t="s">
        <v>20</v>
      </c>
      <c r="E100" s="2" t="s">
        <v>22</v>
      </c>
      <c r="F100" s="2">
        <v>69789</v>
      </c>
      <c r="G100" s="2">
        <v>59689</v>
      </c>
    </row>
    <row r="101" spans="1:7" x14ac:dyDescent="0.3">
      <c r="A101" s="2">
        <v>1100</v>
      </c>
      <c r="B101" s="3">
        <v>45035</v>
      </c>
      <c r="C101" s="2" t="s">
        <v>10</v>
      </c>
      <c r="D101" s="2" t="s">
        <v>20</v>
      </c>
      <c r="E101" s="2" t="s">
        <v>25</v>
      </c>
      <c r="F101" s="2">
        <v>41655</v>
      </c>
      <c r="G101" s="2">
        <v>35993</v>
      </c>
    </row>
    <row r="102" spans="1:7" x14ac:dyDescent="0.3">
      <c r="A102" s="2">
        <v>1101</v>
      </c>
      <c r="B102" s="3">
        <v>45068</v>
      </c>
      <c r="C102" s="2" t="s">
        <v>11</v>
      </c>
      <c r="D102" s="2" t="s">
        <v>19</v>
      </c>
      <c r="E102" s="2" t="s">
        <v>23</v>
      </c>
      <c r="F102" s="2">
        <v>30042</v>
      </c>
      <c r="G102" s="2">
        <v>18796</v>
      </c>
    </row>
    <row r="103" spans="1:7" x14ac:dyDescent="0.3">
      <c r="A103" s="2">
        <v>1102</v>
      </c>
      <c r="B103" s="3">
        <v>45177</v>
      </c>
      <c r="C103" s="2" t="s">
        <v>11</v>
      </c>
      <c r="D103" s="2" t="s">
        <v>17</v>
      </c>
      <c r="E103" s="2" t="s">
        <v>24</v>
      </c>
      <c r="F103" s="2">
        <v>69332</v>
      </c>
      <c r="G103" s="2">
        <v>50921</v>
      </c>
    </row>
    <row r="104" spans="1:7" x14ac:dyDescent="0.3">
      <c r="A104" s="2">
        <v>1103</v>
      </c>
      <c r="B104" s="3"/>
      <c r="C104" s="2" t="s">
        <v>7</v>
      </c>
      <c r="D104" s="2" t="s">
        <v>17</v>
      </c>
      <c r="E104" s="2" t="s">
        <v>24</v>
      </c>
      <c r="F104" s="2">
        <v>36890</v>
      </c>
      <c r="G104" s="2">
        <v>25522</v>
      </c>
    </row>
    <row r="105" spans="1:7" x14ac:dyDescent="0.3">
      <c r="A105" s="2">
        <v>1104</v>
      </c>
      <c r="B105" s="3">
        <v>45169</v>
      </c>
      <c r="C105" s="2" t="s">
        <v>11</v>
      </c>
      <c r="D105" s="2" t="s">
        <v>20</v>
      </c>
      <c r="E105" s="2" t="s">
        <v>24</v>
      </c>
      <c r="F105" s="2">
        <v>77140</v>
      </c>
      <c r="G105" s="2">
        <v>53939</v>
      </c>
    </row>
    <row r="106" spans="1:7" x14ac:dyDescent="0.3">
      <c r="A106" s="2">
        <v>1105</v>
      </c>
      <c r="B106" s="3">
        <v>45065</v>
      </c>
      <c r="C106" s="2" t="s">
        <v>7</v>
      </c>
      <c r="D106" s="2" t="s">
        <v>20</v>
      </c>
      <c r="E106" s="2" t="s">
        <v>21</v>
      </c>
      <c r="F106" s="2">
        <v>20814</v>
      </c>
      <c r="G106" s="2">
        <v>16992</v>
      </c>
    </row>
    <row r="107" spans="1:7" x14ac:dyDescent="0.3">
      <c r="A107" s="2">
        <v>1106</v>
      </c>
      <c r="B107" s="3">
        <v>45307</v>
      </c>
      <c r="C107" s="2" t="s">
        <v>11</v>
      </c>
      <c r="D107" s="2" t="s">
        <v>17</v>
      </c>
      <c r="E107" s="2" t="s">
        <v>21</v>
      </c>
      <c r="F107" s="2">
        <v>33361</v>
      </c>
      <c r="G107" s="2">
        <v>27408</v>
      </c>
    </row>
    <row r="108" spans="1:7" x14ac:dyDescent="0.3">
      <c r="A108" s="2">
        <v>1107</v>
      </c>
      <c r="B108" s="3">
        <v>45228</v>
      </c>
      <c r="C108" s="2" t="s">
        <v>11</v>
      </c>
      <c r="D108" s="2" t="s">
        <v>20</v>
      </c>
      <c r="E108" s="2" t="s">
        <v>22</v>
      </c>
      <c r="F108" s="2">
        <v>30443</v>
      </c>
      <c r="G108" s="2">
        <v>20971</v>
      </c>
    </row>
    <row r="109" spans="1:7" x14ac:dyDescent="0.3">
      <c r="A109" s="2">
        <v>1108</v>
      </c>
      <c r="B109" s="3">
        <v>45081</v>
      </c>
      <c r="C109" s="2" t="s">
        <v>9</v>
      </c>
      <c r="D109" s="2" t="s">
        <v>17</v>
      </c>
      <c r="E109" s="2" t="s">
        <v>25</v>
      </c>
      <c r="F109" s="2">
        <v>10965</v>
      </c>
      <c r="G109" s="2">
        <v>9783</v>
      </c>
    </row>
    <row r="110" spans="1:7" x14ac:dyDescent="0.3">
      <c r="A110" s="2">
        <v>1109</v>
      </c>
      <c r="B110" s="3">
        <v>45284</v>
      </c>
      <c r="C110" s="2" t="s">
        <v>15</v>
      </c>
      <c r="D110" s="2" t="s">
        <v>18</v>
      </c>
      <c r="E110" s="2" t="s">
        <v>22</v>
      </c>
      <c r="F110" s="2">
        <v>6607</v>
      </c>
      <c r="G110" s="2">
        <v>5102</v>
      </c>
    </row>
    <row r="111" spans="1:7" x14ac:dyDescent="0.3">
      <c r="A111" s="2">
        <v>1110</v>
      </c>
      <c r="B111" s="3">
        <v>45152</v>
      </c>
      <c r="C111" s="2" t="s">
        <v>10</v>
      </c>
      <c r="D111" s="2" t="s">
        <v>17</v>
      </c>
      <c r="E111" s="2" t="s">
        <v>22</v>
      </c>
      <c r="F111" s="2">
        <v>38092</v>
      </c>
      <c r="G111" s="2">
        <v>33609</v>
      </c>
    </row>
    <row r="112" spans="1:7" x14ac:dyDescent="0.3">
      <c r="A112" s="2">
        <v>1111</v>
      </c>
      <c r="B112" s="3">
        <v>45347</v>
      </c>
      <c r="C112" s="2" t="s">
        <v>8</v>
      </c>
      <c r="D112" s="2" t="s">
        <v>18</v>
      </c>
      <c r="E112" s="2" t="s">
        <v>24</v>
      </c>
      <c r="F112" s="2">
        <v>14710</v>
      </c>
      <c r="G112" s="2">
        <v>11372</v>
      </c>
    </row>
    <row r="113" spans="1:7" x14ac:dyDescent="0.3">
      <c r="A113" s="2">
        <v>1112</v>
      </c>
      <c r="B113" s="3">
        <v>45004</v>
      </c>
      <c r="C113" s="2" t="s">
        <v>15</v>
      </c>
      <c r="D113" s="2" t="s">
        <v>20</v>
      </c>
      <c r="E113" s="2" t="s">
        <v>22</v>
      </c>
      <c r="F113" s="2">
        <v>37530</v>
      </c>
      <c r="G113" s="2">
        <v>23851</v>
      </c>
    </row>
    <row r="114" spans="1:7" x14ac:dyDescent="0.3">
      <c r="A114" s="2">
        <v>1113</v>
      </c>
      <c r="B114" s="3">
        <v>45237</v>
      </c>
      <c r="C114" s="2" t="s">
        <v>13</v>
      </c>
      <c r="D114" s="2" t="s">
        <v>17</v>
      </c>
      <c r="E114" s="2" t="s">
        <v>23</v>
      </c>
      <c r="F114" s="2">
        <v>54856</v>
      </c>
      <c r="G114" s="2">
        <v>40327</v>
      </c>
    </row>
    <row r="115" spans="1:7" x14ac:dyDescent="0.3">
      <c r="A115" s="2">
        <v>1114</v>
      </c>
      <c r="B115" s="3">
        <v>45367</v>
      </c>
      <c r="C115" s="2" t="s">
        <v>13</v>
      </c>
      <c r="D115" s="2" t="s">
        <v>18</v>
      </c>
      <c r="E115" s="2" t="s">
        <v>25</v>
      </c>
      <c r="F115" s="2">
        <v>79531</v>
      </c>
      <c r="G115" s="2">
        <v>62535</v>
      </c>
    </row>
    <row r="116" spans="1:7" x14ac:dyDescent="0.3">
      <c r="A116" s="2">
        <v>1115</v>
      </c>
      <c r="B116" s="3">
        <v>45305</v>
      </c>
      <c r="C116" s="2" t="s">
        <v>8</v>
      </c>
      <c r="D116" s="2" t="s">
        <v>17</v>
      </c>
      <c r="E116" s="2" t="s">
        <v>21</v>
      </c>
      <c r="F116" s="2">
        <v>39687</v>
      </c>
      <c r="G116" s="2">
        <v>31675</v>
      </c>
    </row>
    <row r="117" spans="1:7" x14ac:dyDescent="0.3">
      <c r="A117" s="2">
        <v>1116</v>
      </c>
      <c r="B117" s="3">
        <v>45015</v>
      </c>
      <c r="C117" s="2" t="s">
        <v>11</v>
      </c>
      <c r="D117" s="2" t="s">
        <v>19</v>
      </c>
      <c r="E117" s="2" t="s">
        <v>21</v>
      </c>
      <c r="F117" s="2">
        <v>5350</v>
      </c>
      <c r="G117" s="2">
        <v>3865</v>
      </c>
    </row>
    <row r="118" spans="1:7" x14ac:dyDescent="0.3">
      <c r="A118" s="2">
        <v>1117</v>
      </c>
      <c r="B118" s="3">
        <v>45167</v>
      </c>
      <c r="C118" s="2" t="s">
        <v>7</v>
      </c>
      <c r="D118" s="2" t="s">
        <v>19</v>
      </c>
      <c r="E118" s="2" t="s">
        <v>21</v>
      </c>
      <c r="F118" s="2">
        <v>42762</v>
      </c>
      <c r="G118" s="2">
        <v>34726</v>
      </c>
    </row>
    <row r="119" spans="1:7" x14ac:dyDescent="0.3">
      <c r="A119" s="2">
        <v>1118</v>
      </c>
      <c r="B119" s="3">
        <v>45159</v>
      </c>
      <c r="C119" s="2" t="s">
        <v>8</v>
      </c>
      <c r="D119" s="2" t="s">
        <v>17</v>
      </c>
      <c r="E119" s="2" t="s">
        <v>25</v>
      </c>
      <c r="F119" s="2">
        <v>30928</v>
      </c>
      <c r="G119" s="2">
        <v>22501</v>
      </c>
    </row>
    <row r="120" spans="1:7" x14ac:dyDescent="0.3">
      <c r="A120" s="2">
        <v>1119</v>
      </c>
      <c r="B120" s="3">
        <v>45258</v>
      </c>
      <c r="C120" s="2" t="s">
        <v>15</v>
      </c>
      <c r="D120" s="2" t="s">
        <v>20</v>
      </c>
      <c r="E120" s="2" t="s">
        <v>21</v>
      </c>
      <c r="F120" s="2">
        <v>14359</v>
      </c>
      <c r="G120" s="2">
        <v>8872</v>
      </c>
    </row>
    <row r="121" spans="1:7" x14ac:dyDescent="0.3">
      <c r="A121" s="2">
        <v>1120</v>
      </c>
      <c r="B121" s="3">
        <v>45231</v>
      </c>
      <c r="C121" s="2" t="s">
        <v>13</v>
      </c>
      <c r="D121" s="2" t="s">
        <v>20</v>
      </c>
      <c r="E121" s="2" t="s">
        <v>24</v>
      </c>
      <c r="F121" s="2">
        <v>21299</v>
      </c>
      <c r="G121" s="2">
        <v>15774</v>
      </c>
    </row>
    <row r="122" spans="1:7" x14ac:dyDescent="0.3">
      <c r="A122" s="2">
        <v>1121</v>
      </c>
      <c r="B122" s="3">
        <v>45133</v>
      </c>
      <c r="C122" s="2" t="s">
        <v>7</v>
      </c>
      <c r="D122" s="2" t="s">
        <v>18</v>
      </c>
      <c r="E122" s="2" t="s">
        <v>24</v>
      </c>
      <c r="F122" s="2">
        <v>15543</v>
      </c>
      <c r="G122" s="2">
        <v>12114</v>
      </c>
    </row>
    <row r="123" spans="1:7" x14ac:dyDescent="0.3">
      <c r="A123" s="2">
        <v>1122</v>
      </c>
      <c r="B123" s="3">
        <v>45303</v>
      </c>
      <c r="C123" s="2" t="s">
        <v>10</v>
      </c>
      <c r="D123" s="2" t="s">
        <v>20</v>
      </c>
      <c r="E123" s="2" t="s">
        <v>22</v>
      </c>
      <c r="F123" s="2">
        <v>16970</v>
      </c>
      <c r="G123" s="2">
        <v>11347</v>
      </c>
    </row>
    <row r="124" spans="1:7" x14ac:dyDescent="0.3">
      <c r="A124" s="2">
        <v>1123</v>
      </c>
      <c r="B124" s="3">
        <v>45367</v>
      </c>
      <c r="C124" s="2" t="s">
        <v>13</v>
      </c>
      <c r="D124" s="2" t="s">
        <v>19</v>
      </c>
      <c r="E124" s="2" t="s">
        <v>25</v>
      </c>
      <c r="F124" s="2">
        <v>10273</v>
      </c>
      <c r="G124" s="2">
        <v>8515</v>
      </c>
    </row>
    <row r="125" spans="1:7" x14ac:dyDescent="0.3">
      <c r="A125" s="2">
        <v>1124</v>
      </c>
      <c r="B125" s="3">
        <v>45192</v>
      </c>
      <c r="C125" s="2" t="s">
        <v>14</v>
      </c>
      <c r="D125" s="2" t="s">
        <v>20</v>
      </c>
      <c r="E125" s="2" t="s">
        <v>21</v>
      </c>
      <c r="F125" s="2">
        <v>62132</v>
      </c>
      <c r="G125" s="2">
        <v>49111</v>
      </c>
    </row>
    <row r="126" spans="1:7" x14ac:dyDescent="0.3">
      <c r="A126" s="2">
        <v>1125</v>
      </c>
      <c r="B126" s="3">
        <v>44973</v>
      </c>
      <c r="C126" s="2" t="s">
        <v>14</v>
      </c>
      <c r="D126" s="2" t="s">
        <v>20</v>
      </c>
      <c r="E126" s="2" t="s">
        <v>24</v>
      </c>
      <c r="F126" s="2">
        <v>48687</v>
      </c>
      <c r="G126" s="2">
        <v>33901</v>
      </c>
    </row>
    <row r="127" spans="1:7" x14ac:dyDescent="0.3">
      <c r="A127" s="2">
        <v>1126</v>
      </c>
      <c r="B127" s="3">
        <v>45009</v>
      </c>
      <c r="C127" s="2" t="s">
        <v>10</v>
      </c>
      <c r="D127" s="2" t="s">
        <v>18</v>
      </c>
      <c r="E127" s="2" t="s">
        <v>24</v>
      </c>
      <c r="F127" s="2">
        <v>42777</v>
      </c>
      <c r="G127" s="2">
        <v>34169</v>
      </c>
    </row>
    <row r="128" spans="1:7" x14ac:dyDescent="0.3">
      <c r="A128" s="2">
        <v>1127</v>
      </c>
      <c r="B128" s="3">
        <v>45316</v>
      </c>
      <c r="C128" s="2" t="s">
        <v>11</v>
      </c>
      <c r="D128" s="2" t="s">
        <v>19</v>
      </c>
      <c r="E128" s="2" t="s">
        <v>24</v>
      </c>
      <c r="F128" s="2">
        <v>16542</v>
      </c>
      <c r="G128" s="2">
        <v>11486</v>
      </c>
    </row>
    <row r="129" spans="1:7" x14ac:dyDescent="0.3">
      <c r="A129" s="2">
        <v>1128</v>
      </c>
      <c r="B129" s="3">
        <v>45322</v>
      </c>
      <c r="C129" s="2" t="s">
        <v>16</v>
      </c>
      <c r="D129" s="2" t="s">
        <v>19</v>
      </c>
      <c r="E129" s="2" t="s">
        <v>23</v>
      </c>
      <c r="F129" s="2">
        <v>65552</v>
      </c>
      <c r="G129" s="2">
        <v>47457</v>
      </c>
    </row>
    <row r="130" spans="1:7" x14ac:dyDescent="0.3">
      <c r="A130" s="2">
        <v>1129</v>
      </c>
      <c r="B130" s="3">
        <v>45112</v>
      </c>
      <c r="C130" s="2" t="s">
        <v>13</v>
      </c>
      <c r="D130" s="2" t="s">
        <v>18</v>
      </c>
      <c r="E130" s="2" t="s">
        <v>24</v>
      </c>
      <c r="F130" s="2">
        <v>11764</v>
      </c>
      <c r="G130" s="2">
        <v>7776</v>
      </c>
    </row>
    <row r="131" spans="1:7" x14ac:dyDescent="0.3">
      <c r="A131" s="2">
        <v>1130</v>
      </c>
      <c r="B131" s="3">
        <v>45074</v>
      </c>
      <c r="C131" s="2" t="s">
        <v>14</v>
      </c>
      <c r="D131" s="2" t="s">
        <v>18</v>
      </c>
      <c r="E131" s="2" t="s">
        <v>22</v>
      </c>
      <c r="F131" s="2">
        <v>8783</v>
      </c>
      <c r="G131" s="2">
        <v>7833</v>
      </c>
    </row>
    <row r="132" spans="1:7" x14ac:dyDescent="0.3">
      <c r="A132" s="2">
        <v>1131</v>
      </c>
      <c r="B132" s="3">
        <v>45049</v>
      </c>
      <c r="C132" s="2" t="s">
        <v>15</v>
      </c>
      <c r="D132" s="2" t="s">
        <v>20</v>
      </c>
      <c r="E132" s="2" t="s">
        <v>23</v>
      </c>
      <c r="F132" s="2">
        <v>6792</v>
      </c>
      <c r="G132" s="2">
        <v>5200</v>
      </c>
    </row>
    <row r="133" spans="1:7" x14ac:dyDescent="0.3">
      <c r="A133" s="2">
        <v>1132</v>
      </c>
      <c r="B133" s="3">
        <v>45357</v>
      </c>
      <c r="C133" s="2" t="s">
        <v>8</v>
      </c>
      <c r="D133" s="2" t="s">
        <v>18</v>
      </c>
      <c r="E133" s="2" t="s">
        <v>22</v>
      </c>
      <c r="F133" s="2">
        <v>25181</v>
      </c>
      <c r="G133" s="2">
        <v>18873</v>
      </c>
    </row>
    <row r="134" spans="1:7" x14ac:dyDescent="0.3">
      <c r="A134" s="2">
        <v>1133</v>
      </c>
      <c r="B134" s="3">
        <v>45187</v>
      </c>
      <c r="C134" s="2" t="s">
        <v>7</v>
      </c>
      <c r="D134" s="2" t="s">
        <v>18</v>
      </c>
      <c r="E134" s="2" t="s">
        <v>24</v>
      </c>
      <c r="F134" s="2">
        <v>66894</v>
      </c>
      <c r="G134" s="2">
        <v>45027</v>
      </c>
    </row>
    <row r="135" spans="1:7" x14ac:dyDescent="0.3">
      <c r="A135" s="2">
        <v>1134</v>
      </c>
      <c r="B135" s="3">
        <v>45123</v>
      </c>
      <c r="C135" s="2" t="s">
        <v>12</v>
      </c>
      <c r="D135" s="2" t="s">
        <v>17</v>
      </c>
      <c r="E135" s="2" t="s">
        <v>22</v>
      </c>
      <c r="F135" s="2">
        <v>41208</v>
      </c>
      <c r="G135" s="2">
        <v>34276</v>
      </c>
    </row>
    <row r="136" spans="1:7" x14ac:dyDescent="0.3">
      <c r="A136" s="2">
        <v>1135</v>
      </c>
      <c r="B136" s="3">
        <v>45101</v>
      </c>
      <c r="C136" s="2" t="s">
        <v>11</v>
      </c>
      <c r="D136" s="2" t="s">
        <v>20</v>
      </c>
      <c r="E136" s="2" t="s">
        <v>22</v>
      </c>
      <c r="F136" s="2">
        <v>42072</v>
      </c>
      <c r="G136" s="2">
        <v>34407</v>
      </c>
    </row>
    <row r="137" spans="1:7" x14ac:dyDescent="0.3">
      <c r="A137" s="2">
        <v>1136</v>
      </c>
      <c r="B137" s="3">
        <v>45223</v>
      </c>
      <c r="C137" s="2" t="s">
        <v>14</v>
      </c>
      <c r="D137" s="2" t="s">
        <v>17</v>
      </c>
      <c r="E137" s="2" t="s">
        <v>24</v>
      </c>
      <c r="F137" s="2">
        <v>75592</v>
      </c>
      <c r="G137" s="2">
        <v>56338</v>
      </c>
    </row>
    <row r="138" spans="1:7" x14ac:dyDescent="0.3">
      <c r="A138" s="2">
        <v>1137</v>
      </c>
      <c r="B138" s="3">
        <v>45317</v>
      </c>
      <c r="C138" s="2" t="s">
        <v>11</v>
      </c>
      <c r="D138" s="2" t="s">
        <v>18</v>
      </c>
      <c r="E138" s="2" t="s">
        <v>24</v>
      </c>
      <c r="F138" s="2">
        <v>47176</v>
      </c>
      <c r="G138" s="2">
        <v>40612</v>
      </c>
    </row>
    <row r="139" spans="1:7" x14ac:dyDescent="0.3">
      <c r="A139" s="2">
        <v>1138</v>
      </c>
      <c r="B139" s="3">
        <v>45049</v>
      </c>
      <c r="C139" s="2" t="s">
        <v>13</v>
      </c>
      <c r="D139" s="2" t="s">
        <v>18</v>
      </c>
      <c r="E139" s="2" t="s">
        <v>21</v>
      </c>
      <c r="F139" s="2">
        <v>58841</v>
      </c>
      <c r="G139" s="2">
        <v>36075</v>
      </c>
    </row>
    <row r="140" spans="1:7" x14ac:dyDescent="0.3">
      <c r="A140" s="2">
        <v>1139</v>
      </c>
      <c r="B140" s="3">
        <v>45288</v>
      </c>
      <c r="C140" s="2" t="s">
        <v>16</v>
      </c>
      <c r="D140" s="2" t="s">
        <v>18</v>
      </c>
      <c r="E140" s="2" t="s">
        <v>21</v>
      </c>
      <c r="F140" s="2">
        <v>69923</v>
      </c>
      <c r="G140" s="2">
        <v>62192</v>
      </c>
    </row>
    <row r="141" spans="1:7" x14ac:dyDescent="0.3">
      <c r="A141" s="2">
        <v>1140</v>
      </c>
      <c r="B141" s="3">
        <v>45229</v>
      </c>
      <c r="C141" s="2" t="s">
        <v>10</v>
      </c>
      <c r="D141" s="2" t="s">
        <v>19</v>
      </c>
      <c r="E141" s="2" t="s">
        <v>24</v>
      </c>
      <c r="F141" s="2">
        <v>18069</v>
      </c>
      <c r="G141" s="2">
        <v>13692</v>
      </c>
    </row>
    <row r="142" spans="1:7" x14ac:dyDescent="0.3">
      <c r="A142" s="2">
        <v>1141</v>
      </c>
      <c r="B142" s="3">
        <v>45296</v>
      </c>
      <c r="C142" s="2" t="s">
        <v>15</v>
      </c>
      <c r="D142" s="2" t="s">
        <v>18</v>
      </c>
      <c r="E142" s="2" t="s">
        <v>21</v>
      </c>
      <c r="F142" s="2">
        <v>14807</v>
      </c>
      <c r="G142" s="2">
        <v>10969</v>
      </c>
    </row>
    <row r="143" spans="1:7" x14ac:dyDescent="0.3">
      <c r="A143" s="2">
        <v>1142</v>
      </c>
      <c r="B143" s="3">
        <v>45100</v>
      </c>
      <c r="C143" s="2" t="s">
        <v>13</v>
      </c>
      <c r="D143" s="2" t="s">
        <v>18</v>
      </c>
      <c r="E143" s="2" t="s">
        <v>22</v>
      </c>
      <c r="F143" s="2">
        <v>48065</v>
      </c>
      <c r="G143" s="2">
        <v>41129</v>
      </c>
    </row>
    <row r="144" spans="1:7" x14ac:dyDescent="0.3">
      <c r="A144" s="2">
        <v>1143</v>
      </c>
      <c r="B144" s="3">
        <v>45121</v>
      </c>
      <c r="C144" s="2" t="s">
        <v>10</v>
      </c>
      <c r="D144" s="2" t="s">
        <v>18</v>
      </c>
      <c r="E144" s="2" t="s">
        <v>23</v>
      </c>
      <c r="F144" s="2">
        <v>9705</v>
      </c>
      <c r="G144" s="2">
        <v>7620</v>
      </c>
    </row>
    <row r="145" spans="1:7" x14ac:dyDescent="0.3">
      <c r="A145" s="2">
        <v>1144</v>
      </c>
      <c r="B145" s="3">
        <v>45277</v>
      </c>
      <c r="C145" s="2" t="s">
        <v>7</v>
      </c>
      <c r="D145" s="2" t="s">
        <v>17</v>
      </c>
      <c r="E145" s="2" t="s">
        <v>22</v>
      </c>
      <c r="F145" s="2">
        <v>61881</v>
      </c>
      <c r="G145" s="2">
        <v>55290</v>
      </c>
    </row>
    <row r="146" spans="1:7" x14ac:dyDescent="0.3">
      <c r="A146" s="2">
        <v>1145</v>
      </c>
      <c r="B146" s="3">
        <v>45287</v>
      </c>
      <c r="C146" s="2" t="s">
        <v>8</v>
      </c>
      <c r="D146" s="2" t="s">
        <v>18</v>
      </c>
      <c r="E146" s="2" t="s">
        <v>21</v>
      </c>
      <c r="F146" s="2">
        <v>44251</v>
      </c>
      <c r="G146" s="2">
        <v>38543</v>
      </c>
    </row>
    <row r="147" spans="1:7" x14ac:dyDescent="0.3">
      <c r="A147" s="2">
        <v>1146</v>
      </c>
      <c r="B147" s="3"/>
      <c r="C147" s="2" t="s">
        <v>9</v>
      </c>
      <c r="D147" s="2" t="s">
        <v>20</v>
      </c>
      <c r="E147" s="2" t="s">
        <v>25</v>
      </c>
      <c r="F147" s="2">
        <v>54131</v>
      </c>
      <c r="G147" s="2">
        <v>39472</v>
      </c>
    </row>
    <row r="148" spans="1:7" x14ac:dyDescent="0.3">
      <c r="A148" s="2">
        <v>1147</v>
      </c>
      <c r="B148" s="3">
        <v>45137</v>
      </c>
      <c r="C148" s="2" t="s">
        <v>13</v>
      </c>
      <c r="D148" s="2" t="s">
        <v>17</v>
      </c>
      <c r="E148" s="2" t="s">
        <v>21</v>
      </c>
      <c r="F148" s="2">
        <v>27946</v>
      </c>
      <c r="G148" s="2">
        <v>17429</v>
      </c>
    </row>
    <row r="149" spans="1:7" x14ac:dyDescent="0.3">
      <c r="A149" s="2">
        <v>1148</v>
      </c>
      <c r="B149" s="3">
        <v>45244</v>
      </c>
      <c r="C149" s="2" t="s">
        <v>12</v>
      </c>
      <c r="D149" s="2" t="s">
        <v>18</v>
      </c>
      <c r="E149" s="2" t="s">
        <v>23</v>
      </c>
      <c r="F149" s="2">
        <v>23758</v>
      </c>
      <c r="G149" s="2">
        <v>15909</v>
      </c>
    </row>
    <row r="150" spans="1:7" x14ac:dyDescent="0.3">
      <c r="A150" s="2">
        <v>1149</v>
      </c>
      <c r="B150" s="3">
        <v>45162</v>
      </c>
      <c r="C150" s="2" t="s">
        <v>7</v>
      </c>
      <c r="D150" s="2" t="s">
        <v>19</v>
      </c>
      <c r="E150" s="2" t="s">
        <v>24</v>
      </c>
      <c r="F150" s="2">
        <v>42700</v>
      </c>
      <c r="G150" s="2">
        <v>34300</v>
      </c>
    </row>
    <row r="151" spans="1:7" x14ac:dyDescent="0.3">
      <c r="A151" s="2">
        <v>1150</v>
      </c>
      <c r="B151" s="3">
        <v>45153</v>
      </c>
      <c r="C151" s="2" t="s">
        <v>10</v>
      </c>
      <c r="D151" s="2" t="s">
        <v>20</v>
      </c>
      <c r="E151" s="2" t="s">
        <v>24</v>
      </c>
      <c r="F151" s="2">
        <v>37780</v>
      </c>
      <c r="G151" s="2">
        <v>27845</v>
      </c>
    </row>
    <row r="152" spans="1:7" x14ac:dyDescent="0.3">
      <c r="A152" s="2">
        <v>1151</v>
      </c>
      <c r="B152" s="3">
        <v>45123</v>
      </c>
      <c r="C152" s="2" t="s">
        <v>14</v>
      </c>
      <c r="D152" s="2" t="s">
        <v>19</v>
      </c>
      <c r="E152" s="2" t="s">
        <v>21</v>
      </c>
      <c r="F152" s="2">
        <v>54986</v>
      </c>
      <c r="G152" s="2">
        <v>42425</v>
      </c>
    </row>
    <row r="153" spans="1:7" x14ac:dyDescent="0.3">
      <c r="A153" s="2">
        <v>1152</v>
      </c>
      <c r="B153" s="3">
        <v>45285</v>
      </c>
      <c r="C153" s="2" t="s">
        <v>7</v>
      </c>
      <c r="D153" s="2" t="s">
        <v>19</v>
      </c>
      <c r="E153" s="2" t="s">
        <v>24</v>
      </c>
      <c r="F153" s="2">
        <v>40976</v>
      </c>
      <c r="G153" s="2">
        <v>24685</v>
      </c>
    </row>
    <row r="154" spans="1:7" x14ac:dyDescent="0.3">
      <c r="A154" s="2">
        <v>1153</v>
      </c>
      <c r="B154" s="3">
        <v>45325</v>
      </c>
      <c r="C154" s="2" t="s">
        <v>9</v>
      </c>
      <c r="D154" s="2" t="s">
        <v>18</v>
      </c>
      <c r="E154" s="2" t="s">
        <v>25</v>
      </c>
      <c r="F154" s="2">
        <v>35162</v>
      </c>
      <c r="G154" s="2">
        <v>27500</v>
      </c>
    </row>
    <row r="155" spans="1:7" x14ac:dyDescent="0.3">
      <c r="A155" s="2">
        <v>1154</v>
      </c>
      <c r="B155" s="3">
        <v>45252</v>
      </c>
      <c r="C155" s="2" t="s">
        <v>12</v>
      </c>
      <c r="D155" s="2" t="s">
        <v>20</v>
      </c>
      <c r="E155" s="2" t="s">
        <v>21</v>
      </c>
      <c r="F155" s="2">
        <v>17735</v>
      </c>
      <c r="G155" s="2">
        <v>15447</v>
      </c>
    </row>
    <row r="156" spans="1:7" x14ac:dyDescent="0.3">
      <c r="A156" s="2">
        <v>1155</v>
      </c>
      <c r="B156" s="3">
        <v>45085</v>
      </c>
      <c r="C156" s="2" t="s">
        <v>14</v>
      </c>
      <c r="D156" s="2" t="s">
        <v>19</v>
      </c>
      <c r="E156" s="2" t="s">
        <v>23</v>
      </c>
      <c r="F156" s="2">
        <v>52823</v>
      </c>
      <c r="G156" s="2">
        <v>43299</v>
      </c>
    </row>
    <row r="157" spans="1:7" x14ac:dyDescent="0.3">
      <c r="A157" s="2">
        <v>1156</v>
      </c>
      <c r="B157" s="3">
        <v>45078</v>
      </c>
      <c r="C157" s="2" t="s">
        <v>10</v>
      </c>
      <c r="D157" s="2" t="s">
        <v>18</v>
      </c>
      <c r="E157" s="2" t="s">
        <v>21</v>
      </c>
      <c r="F157" s="2">
        <v>31318</v>
      </c>
      <c r="G157" s="2">
        <v>20032</v>
      </c>
    </row>
    <row r="158" spans="1:7" x14ac:dyDescent="0.3">
      <c r="A158" s="2">
        <v>1157</v>
      </c>
      <c r="B158" s="3">
        <v>45114</v>
      </c>
      <c r="C158" s="2" t="s">
        <v>11</v>
      </c>
      <c r="D158" s="2" t="s">
        <v>20</v>
      </c>
      <c r="E158" s="2" t="s">
        <v>21</v>
      </c>
      <c r="F158" s="2">
        <v>38681</v>
      </c>
      <c r="G158" s="2">
        <v>33815</v>
      </c>
    </row>
    <row r="159" spans="1:7" x14ac:dyDescent="0.3">
      <c r="A159" s="2">
        <v>1158</v>
      </c>
      <c r="B159" s="3">
        <v>45339</v>
      </c>
      <c r="C159" s="2" t="s">
        <v>7</v>
      </c>
      <c r="D159" s="2" t="s">
        <v>20</v>
      </c>
      <c r="E159" s="2" t="s">
        <v>22</v>
      </c>
      <c r="F159" s="2">
        <v>66385</v>
      </c>
      <c r="G159" s="2">
        <v>59007</v>
      </c>
    </row>
    <row r="160" spans="1:7" x14ac:dyDescent="0.3">
      <c r="A160" s="2">
        <v>1159</v>
      </c>
      <c r="B160" s="3">
        <v>45042</v>
      </c>
      <c r="C160" s="2" t="s">
        <v>16</v>
      </c>
      <c r="D160" s="2" t="s">
        <v>20</v>
      </c>
      <c r="E160" s="2" t="s">
        <v>22</v>
      </c>
      <c r="F160" s="2">
        <v>56717</v>
      </c>
      <c r="G160" s="2">
        <v>34267</v>
      </c>
    </row>
    <row r="161" spans="1:7" x14ac:dyDescent="0.3">
      <c r="A161" s="2">
        <v>1160</v>
      </c>
      <c r="B161" s="3">
        <v>45159</v>
      </c>
      <c r="C161" s="2" t="s">
        <v>10</v>
      </c>
      <c r="D161" s="2" t="s">
        <v>20</v>
      </c>
      <c r="E161" s="2" t="s">
        <v>23</v>
      </c>
      <c r="F161" s="2">
        <v>54941</v>
      </c>
      <c r="G161" s="2">
        <v>46519</v>
      </c>
    </row>
    <row r="162" spans="1:7" x14ac:dyDescent="0.3">
      <c r="A162" s="2">
        <v>1161</v>
      </c>
      <c r="B162" s="3">
        <v>44982</v>
      </c>
      <c r="C162" s="2" t="s">
        <v>12</v>
      </c>
      <c r="D162" s="2" t="s">
        <v>18</v>
      </c>
      <c r="E162" s="2" t="s">
        <v>22</v>
      </c>
      <c r="F162" s="2">
        <v>78584</v>
      </c>
      <c r="G162" s="2">
        <v>54883</v>
      </c>
    </row>
    <row r="163" spans="1:7" x14ac:dyDescent="0.3">
      <c r="A163" s="2">
        <v>1162</v>
      </c>
      <c r="B163" s="3">
        <v>45258</v>
      </c>
      <c r="C163" s="2" t="s">
        <v>8</v>
      </c>
      <c r="D163" s="2" t="s">
        <v>18</v>
      </c>
      <c r="E163" s="2" t="s">
        <v>25</v>
      </c>
      <c r="F163" s="2">
        <v>58516</v>
      </c>
      <c r="G163" s="2">
        <v>37157</v>
      </c>
    </row>
    <row r="164" spans="1:7" x14ac:dyDescent="0.3">
      <c r="A164" s="2">
        <v>1163</v>
      </c>
      <c r="B164" s="3"/>
      <c r="C164" s="2" t="s">
        <v>9</v>
      </c>
      <c r="D164" s="2" t="s">
        <v>20</v>
      </c>
      <c r="E164" s="2" t="s">
        <v>24</v>
      </c>
      <c r="F164" s="2">
        <v>20220</v>
      </c>
      <c r="G164" s="2">
        <v>12721</v>
      </c>
    </row>
    <row r="165" spans="1:7" x14ac:dyDescent="0.3">
      <c r="A165" s="2">
        <v>1164</v>
      </c>
      <c r="B165" s="3">
        <v>44996</v>
      </c>
      <c r="C165" s="2" t="s">
        <v>16</v>
      </c>
      <c r="D165" s="2" t="s">
        <v>18</v>
      </c>
      <c r="E165" s="2" t="s">
        <v>25</v>
      </c>
      <c r="F165" s="2">
        <v>75804</v>
      </c>
      <c r="G165" s="2">
        <v>55013</v>
      </c>
    </row>
    <row r="166" spans="1:7" x14ac:dyDescent="0.3">
      <c r="A166" s="2">
        <v>1165</v>
      </c>
      <c r="B166" s="3">
        <v>45006</v>
      </c>
      <c r="C166" s="2" t="s">
        <v>16</v>
      </c>
      <c r="D166" s="2" t="s">
        <v>19</v>
      </c>
      <c r="E166" s="2" t="s">
        <v>24</v>
      </c>
      <c r="F166" s="2">
        <v>58492</v>
      </c>
      <c r="G166" s="2">
        <v>51573</v>
      </c>
    </row>
    <row r="167" spans="1:7" x14ac:dyDescent="0.3">
      <c r="A167" s="2">
        <v>1166</v>
      </c>
      <c r="B167" s="3">
        <v>45280</v>
      </c>
      <c r="C167" s="2" t="s">
        <v>10</v>
      </c>
      <c r="D167" s="2" t="s">
        <v>17</v>
      </c>
      <c r="E167" s="2" t="s">
        <v>24</v>
      </c>
      <c r="F167" s="2">
        <v>63287</v>
      </c>
      <c r="G167" s="2">
        <v>56019</v>
      </c>
    </row>
    <row r="168" spans="1:7" x14ac:dyDescent="0.3">
      <c r="A168" s="2">
        <v>1167</v>
      </c>
      <c r="B168" s="3">
        <v>44977</v>
      </c>
      <c r="C168" s="2" t="s">
        <v>10</v>
      </c>
      <c r="D168" s="2" t="s">
        <v>20</v>
      </c>
      <c r="E168" s="2" t="s">
        <v>22</v>
      </c>
      <c r="F168" s="2">
        <v>57184</v>
      </c>
      <c r="G168" s="2">
        <v>39043</v>
      </c>
    </row>
    <row r="169" spans="1:7" x14ac:dyDescent="0.3">
      <c r="A169" s="2">
        <v>1168</v>
      </c>
      <c r="B169" s="3">
        <v>45361</v>
      </c>
      <c r="C169" s="2" t="s">
        <v>14</v>
      </c>
      <c r="D169" s="2" t="s">
        <v>19</v>
      </c>
      <c r="E169" s="2" t="s">
        <v>21</v>
      </c>
      <c r="F169" s="2">
        <v>7799</v>
      </c>
      <c r="G169" s="2">
        <v>4797</v>
      </c>
    </row>
    <row r="170" spans="1:7" x14ac:dyDescent="0.3">
      <c r="A170" s="2">
        <v>1169</v>
      </c>
      <c r="B170" s="3">
        <v>44991</v>
      </c>
      <c r="C170" s="2" t="s">
        <v>13</v>
      </c>
      <c r="D170" s="2" t="s">
        <v>17</v>
      </c>
      <c r="E170" s="2" t="s">
        <v>22</v>
      </c>
      <c r="F170" s="2">
        <v>77641</v>
      </c>
      <c r="G170" s="2">
        <v>51409</v>
      </c>
    </row>
    <row r="171" spans="1:7" x14ac:dyDescent="0.3">
      <c r="A171" s="2">
        <v>1170</v>
      </c>
      <c r="B171" s="3">
        <v>45372</v>
      </c>
      <c r="C171" s="2" t="s">
        <v>12</v>
      </c>
      <c r="D171" s="2" t="s">
        <v>20</v>
      </c>
      <c r="E171" s="2" t="s">
        <v>21</v>
      </c>
      <c r="F171" s="2">
        <v>5371</v>
      </c>
      <c r="G171" s="2">
        <v>3669</v>
      </c>
    </row>
    <row r="172" spans="1:7" x14ac:dyDescent="0.3">
      <c r="A172" s="2">
        <v>1171</v>
      </c>
      <c r="B172" s="3">
        <v>44993</v>
      </c>
      <c r="C172" s="2" t="s">
        <v>11</v>
      </c>
      <c r="D172" s="2" t="s">
        <v>20</v>
      </c>
      <c r="E172" s="2" t="s">
        <v>21</v>
      </c>
      <c r="F172" s="2">
        <v>19408</v>
      </c>
      <c r="G172" s="2">
        <v>15493</v>
      </c>
    </row>
    <row r="173" spans="1:7" x14ac:dyDescent="0.3">
      <c r="A173" s="2">
        <v>1172</v>
      </c>
      <c r="B173" s="3"/>
      <c r="C173" s="2" t="s">
        <v>9</v>
      </c>
      <c r="D173" s="2" t="s">
        <v>20</v>
      </c>
      <c r="E173" s="2" t="s">
        <v>21</v>
      </c>
      <c r="F173" s="2">
        <v>47437</v>
      </c>
      <c r="G173" s="2">
        <v>28686</v>
      </c>
    </row>
    <row r="174" spans="1:7" x14ac:dyDescent="0.3">
      <c r="A174" s="2">
        <v>1173</v>
      </c>
      <c r="B174" s="3">
        <v>44991</v>
      </c>
      <c r="C174" s="2" t="s">
        <v>16</v>
      </c>
      <c r="D174" s="2" t="s">
        <v>19</v>
      </c>
      <c r="E174" s="2" t="s">
        <v>22</v>
      </c>
      <c r="F174" s="2">
        <v>67422</v>
      </c>
      <c r="G174" s="2">
        <v>49520</v>
      </c>
    </row>
    <row r="175" spans="1:7" x14ac:dyDescent="0.3">
      <c r="A175" s="2">
        <v>1174</v>
      </c>
      <c r="B175" s="3">
        <v>45230</v>
      </c>
      <c r="C175" s="2" t="s">
        <v>8</v>
      </c>
      <c r="D175" s="2" t="s">
        <v>18</v>
      </c>
      <c r="E175" s="2" t="s">
        <v>23</v>
      </c>
      <c r="F175" s="2">
        <v>34038</v>
      </c>
      <c r="G175" s="2">
        <v>30076</v>
      </c>
    </row>
    <row r="176" spans="1:7" x14ac:dyDescent="0.3">
      <c r="A176" s="2">
        <v>1175</v>
      </c>
      <c r="B176" s="3"/>
      <c r="C176" s="2" t="s">
        <v>11</v>
      </c>
      <c r="D176" s="2" t="s">
        <v>20</v>
      </c>
      <c r="E176" s="2" t="s">
        <v>24</v>
      </c>
      <c r="F176" s="2">
        <v>9082</v>
      </c>
      <c r="G176" s="2">
        <v>5614</v>
      </c>
    </row>
    <row r="177" spans="1:7" x14ac:dyDescent="0.3">
      <c r="A177" s="2">
        <v>1176</v>
      </c>
      <c r="B177" s="3">
        <v>45132</v>
      </c>
      <c r="C177" s="2" t="s">
        <v>16</v>
      </c>
      <c r="D177" s="2" t="s">
        <v>19</v>
      </c>
      <c r="E177" s="2" t="s">
        <v>24</v>
      </c>
      <c r="F177" s="2">
        <v>63138</v>
      </c>
      <c r="G177" s="2">
        <v>39274</v>
      </c>
    </row>
    <row r="178" spans="1:7" x14ac:dyDescent="0.3">
      <c r="A178" s="2">
        <v>1177</v>
      </c>
      <c r="B178" s="3">
        <v>45238</v>
      </c>
      <c r="C178" s="2" t="s">
        <v>15</v>
      </c>
      <c r="D178" s="2" t="s">
        <v>19</v>
      </c>
      <c r="E178" s="2" t="s">
        <v>21</v>
      </c>
      <c r="F178" s="2">
        <v>41046</v>
      </c>
      <c r="G178" s="2">
        <v>32315</v>
      </c>
    </row>
    <row r="179" spans="1:7" x14ac:dyDescent="0.3">
      <c r="A179" s="2">
        <v>1178</v>
      </c>
      <c r="B179" s="3">
        <v>45291</v>
      </c>
      <c r="C179" s="2" t="s">
        <v>10</v>
      </c>
      <c r="D179" s="2" t="s">
        <v>18</v>
      </c>
      <c r="E179" s="2" t="s">
        <v>23</v>
      </c>
      <c r="F179" s="2">
        <v>74541</v>
      </c>
      <c r="G179" s="2">
        <v>51319</v>
      </c>
    </row>
    <row r="180" spans="1:7" x14ac:dyDescent="0.3">
      <c r="A180" s="2">
        <v>1179</v>
      </c>
      <c r="B180" s="3">
        <v>45147</v>
      </c>
      <c r="C180" s="2" t="s">
        <v>8</v>
      </c>
      <c r="D180" s="2" t="s">
        <v>19</v>
      </c>
      <c r="E180" s="2" t="s">
        <v>23</v>
      </c>
      <c r="F180" s="2">
        <v>33183</v>
      </c>
      <c r="G180" s="2">
        <v>24191</v>
      </c>
    </row>
    <row r="181" spans="1:7" x14ac:dyDescent="0.3">
      <c r="A181" s="2">
        <v>1180</v>
      </c>
      <c r="B181" s="3">
        <v>45138</v>
      </c>
      <c r="C181" s="2" t="s">
        <v>10</v>
      </c>
      <c r="D181" s="2" t="s">
        <v>18</v>
      </c>
      <c r="E181" s="2" t="s">
        <v>24</v>
      </c>
      <c r="F181" s="2">
        <v>59524</v>
      </c>
      <c r="G181" s="2">
        <v>48743</v>
      </c>
    </row>
    <row r="182" spans="1:7" x14ac:dyDescent="0.3">
      <c r="A182" s="2">
        <v>1181</v>
      </c>
      <c r="B182" s="3">
        <v>45087</v>
      </c>
      <c r="C182" s="2" t="s">
        <v>7</v>
      </c>
      <c r="D182" s="2" t="s">
        <v>20</v>
      </c>
      <c r="E182" s="2" t="s">
        <v>21</v>
      </c>
      <c r="F182" s="2">
        <v>67163</v>
      </c>
      <c r="G182" s="2">
        <v>41650</v>
      </c>
    </row>
    <row r="183" spans="1:7" x14ac:dyDescent="0.3">
      <c r="A183" s="2">
        <v>1182</v>
      </c>
      <c r="B183" s="3">
        <v>44974</v>
      </c>
      <c r="C183" s="2" t="s">
        <v>16</v>
      </c>
      <c r="D183" s="2" t="s">
        <v>19</v>
      </c>
      <c r="E183" s="2" t="s">
        <v>25</v>
      </c>
      <c r="F183" s="2">
        <v>22054</v>
      </c>
      <c r="G183" s="2">
        <v>16913</v>
      </c>
    </row>
    <row r="184" spans="1:7" x14ac:dyDescent="0.3">
      <c r="A184" s="2">
        <v>1183</v>
      </c>
      <c r="B184" s="3">
        <v>45214</v>
      </c>
      <c r="C184" s="2" t="s">
        <v>11</v>
      </c>
      <c r="D184" s="2" t="s">
        <v>20</v>
      </c>
      <c r="E184" s="2" t="s">
        <v>22</v>
      </c>
      <c r="F184" s="2">
        <v>58845</v>
      </c>
      <c r="G184" s="2">
        <v>41549</v>
      </c>
    </row>
    <row r="185" spans="1:7" x14ac:dyDescent="0.3">
      <c r="A185" s="2">
        <v>1184</v>
      </c>
      <c r="B185" s="3">
        <v>45311</v>
      </c>
      <c r="C185" s="2" t="s">
        <v>16</v>
      </c>
      <c r="D185" s="2" t="s">
        <v>19</v>
      </c>
      <c r="E185" s="2" t="s">
        <v>25</v>
      </c>
      <c r="F185" s="2">
        <v>45953</v>
      </c>
      <c r="G185" s="2">
        <v>32419</v>
      </c>
    </row>
    <row r="186" spans="1:7" x14ac:dyDescent="0.3">
      <c r="A186" s="2">
        <v>1185</v>
      </c>
      <c r="B186" s="3">
        <v>45035</v>
      </c>
      <c r="C186" s="2" t="s">
        <v>15</v>
      </c>
      <c r="D186" s="2" t="s">
        <v>18</v>
      </c>
      <c r="E186" s="2" t="s">
        <v>21</v>
      </c>
      <c r="F186" s="2">
        <v>19184</v>
      </c>
      <c r="G186" s="2">
        <v>13525</v>
      </c>
    </row>
    <row r="187" spans="1:7" x14ac:dyDescent="0.3">
      <c r="A187" s="2">
        <v>1186</v>
      </c>
      <c r="B187" s="3">
        <v>44985</v>
      </c>
      <c r="C187" s="2" t="s">
        <v>7</v>
      </c>
      <c r="D187" s="2" t="s">
        <v>17</v>
      </c>
      <c r="E187" s="2" t="s">
        <v>24</v>
      </c>
      <c r="F187" s="2">
        <v>78526</v>
      </c>
      <c r="G187" s="2">
        <v>70073</v>
      </c>
    </row>
    <row r="188" spans="1:7" x14ac:dyDescent="0.3">
      <c r="A188" s="2">
        <v>1187</v>
      </c>
      <c r="B188" s="3">
        <v>45241</v>
      </c>
      <c r="C188" s="2" t="s">
        <v>11</v>
      </c>
      <c r="D188" s="2" t="s">
        <v>19</v>
      </c>
      <c r="E188" s="2" t="s">
        <v>23</v>
      </c>
      <c r="F188" s="2">
        <v>40054</v>
      </c>
      <c r="G188" s="2">
        <v>24380</v>
      </c>
    </row>
    <row r="189" spans="1:7" x14ac:dyDescent="0.3">
      <c r="A189" s="2">
        <v>1188</v>
      </c>
      <c r="B189" s="3">
        <v>45317</v>
      </c>
      <c r="C189" s="2" t="s">
        <v>7</v>
      </c>
      <c r="D189" s="2" t="s">
        <v>20</v>
      </c>
      <c r="E189" s="2" t="s">
        <v>25</v>
      </c>
      <c r="F189" s="2">
        <v>5800</v>
      </c>
      <c r="G189" s="2">
        <v>3795</v>
      </c>
    </row>
    <row r="190" spans="1:7" x14ac:dyDescent="0.3">
      <c r="A190" s="2">
        <v>1189</v>
      </c>
      <c r="B190" s="3">
        <v>45263</v>
      </c>
      <c r="C190" s="2" t="s">
        <v>16</v>
      </c>
      <c r="D190" s="2" t="s">
        <v>19</v>
      </c>
      <c r="E190" s="2" t="s">
        <v>21</v>
      </c>
      <c r="F190" s="2">
        <v>9018</v>
      </c>
      <c r="G190" s="2">
        <v>5659</v>
      </c>
    </row>
    <row r="191" spans="1:7" x14ac:dyDescent="0.3">
      <c r="A191" s="2">
        <v>1190</v>
      </c>
      <c r="B191" s="3">
        <v>45119</v>
      </c>
      <c r="C191" s="2" t="s">
        <v>16</v>
      </c>
      <c r="D191" s="2" t="s">
        <v>18</v>
      </c>
      <c r="E191" s="2" t="s">
        <v>25</v>
      </c>
      <c r="F191" s="2">
        <v>25631</v>
      </c>
      <c r="G191" s="2">
        <v>18224</v>
      </c>
    </row>
    <row r="192" spans="1:7" x14ac:dyDescent="0.3">
      <c r="A192" s="2">
        <v>1191</v>
      </c>
      <c r="B192" s="3">
        <v>45324</v>
      </c>
      <c r="C192" s="2" t="s">
        <v>13</v>
      </c>
      <c r="D192" s="2" t="s">
        <v>19</v>
      </c>
      <c r="E192" s="2" t="s">
        <v>22</v>
      </c>
      <c r="F192" s="2">
        <v>25392</v>
      </c>
      <c r="G192" s="2">
        <v>16434</v>
      </c>
    </row>
    <row r="193" spans="1:7" x14ac:dyDescent="0.3">
      <c r="A193" s="2">
        <v>1192</v>
      </c>
      <c r="B193" s="3">
        <v>45272</v>
      </c>
      <c r="C193" s="2" t="s">
        <v>8</v>
      </c>
      <c r="D193" s="2" t="s">
        <v>20</v>
      </c>
      <c r="E193" s="2" t="s">
        <v>24</v>
      </c>
      <c r="F193" s="2">
        <v>60576</v>
      </c>
      <c r="G193" s="2">
        <v>45171</v>
      </c>
    </row>
    <row r="194" spans="1:7" x14ac:dyDescent="0.3">
      <c r="A194" s="2">
        <v>1193</v>
      </c>
      <c r="B194" s="3">
        <v>45066</v>
      </c>
      <c r="C194" s="2" t="s">
        <v>12</v>
      </c>
      <c r="D194" s="2" t="s">
        <v>19</v>
      </c>
      <c r="E194" s="2" t="s">
        <v>25</v>
      </c>
      <c r="F194" s="2">
        <v>61349</v>
      </c>
      <c r="G194" s="2">
        <v>38850</v>
      </c>
    </row>
    <row r="195" spans="1:7" x14ac:dyDescent="0.3">
      <c r="A195" s="2">
        <v>1194</v>
      </c>
      <c r="B195" s="3">
        <v>45230</v>
      </c>
      <c r="C195" s="2" t="s">
        <v>14</v>
      </c>
      <c r="D195" s="2" t="s">
        <v>20</v>
      </c>
      <c r="E195" s="2" t="s">
        <v>22</v>
      </c>
      <c r="F195" s="2">
        <v>33903</v>
      </c>
      <c r="G195" s="2">
        <v>24361</v>
      </c>
    </row>
    <row r="196" spans="1:7" x14ac:dyDescent="0.3">
      <c r="A196" s="2">
        <v>1195</v>
      </c>
      <c r="B196" s="3">
        <v>44930</v>
      </c>
      <c r="C196" s="2" t="s">
        <v>12</v>
      </c>
      <c r="D196" s="2" t="s">
        <v>20</v>
      </c>
      <c r="E196" s="2" t="s">
        <v>21</v>
      </c>
      <c r="F196" s="2">
        <v>22987</v>
      </c>
      <c r="G196" s="2">
        <v>19061</v>
      </c>
    </row>
    <row r="197" spans="1:7" x14ac:dyDescent="0.3">
      <c r="A197" s="2">
        <v>1196</v>
      </c>
      <c r="B197" s="3">
        <v>44988</v>
      </c>
      <c r="C197" s="2" t="s">
        <v>9</v>
      </c>
      <c r="D197" s="2" t="s">
        <v>18</v>
      </c>
      <c r="E197" s="2" t="s">
        <v>24</v>
      </c>
      <c r="F197" s="2">
        <v>28028</v>
      </c>
      <c r="G197" s="2">
        <v>17903</v>
      </c>
    </row>
    <row r="198" spans="1:7" x14ac:dyDescent="0.3">
      <c r="A198" s="2">
        <v>1197</v>
      </c>
      <c r="B198" s="3">
        <v>45044</v>
      </c>
      <c r="C198" s="2" t="s">
        <v>11</v>
      </c>
      <c r="D198" s="2" t="s">
        <v>20</v>
      </c>
      <c r="E198" s="2" t="s">
        <v>22</v>
      </c>
      <c r="F198" s="2">
        <v>57044</v>
      </c>
      <c r="G198" s="2">
        <v>48973</v>
      </c>
    </row>
    <row r="199" spans="1:7" x14ac:dyDescent="0.3">
      <c r="A199" s="2">
        <v>1198</v>
      </c>
      <c r="B199" s="3"/>
      <c r="C199" s="2" t="s">
        <v>9</v>
      </c>
      <c r="D199" s="2" t="s">
        <v>18</v>
      </c>
      <c r="E199" s="2" t="s">
        <v>22</v>
      </c>
      <c r="F199" s="2">
        <v>46033</v>
      </c>
      <c r="G199" s="2">
        <v>35570</v>
      </c>
    </row>
    <row r="200" spans="1:7" x14ac:dyDescent="0.3">
      <c r="A200" s="2">
        <v>1199</v>
      </c>
      <c r="B200" s="3">
        <v>45290</v>
      </c>
      <c r="C200" s="2" t="s">
        <v>16</v>
      </c>
      <c r="D200" s="2" t="s">
        <v>20</v>
      </c>
      <c r="E200" s="2" t="s">
        <v>22</v>
      </c>
      <c r="F200" s="2">
        <v>58088</v>
      </c>
      <c r="G200" s="2">
        <v>35216</v>
      </c>
    </row>
    <row r="201" spans="1:7" x14ac:dyDescent="0.3">
      <c r="A201" s="2">
        <v>1200</v>
      </c>
      <c r="B201" s="3">
        <v>45337</v>
      </c>
      <c r="C201" s="2" t="s">
        <v>13</v>
      </c>
      <c r="D201" s="2" t="s">
        <v>18</v>
      </c>
      <c r="E201" s="2" t="s">
        <v>25</v>
      </c>
      <c r="F201" s="2">
        <v>16551</v>
      </c>
      <c r="G201" s="2">
        <v>12099</v>
      </c>
    </row>
    <row r="202" spans="1:7" x14ac:dyDescent="0.3">
      <c r="A202" s="2">
        <v>1201</v>
      </c>
      <c r="B202" s="3">
        <v>45150</v>
      </c>
      <c r="C202" s="2" t="s">
        <v>13</v>
      </c>
      <c r="D202" s="2" t="s">
        <v>18</v>
      </c>
      <c r="E202" s="2" t="s">
        <v>23</v>
      </c>
      <c r="F202" s="2">
        <v>15308</v>
      </c>
      <c r="G202" s="2">
        <v>11002</v>
      </c>
    </row>
    <row r="203" spans="1:7" x14ac:dyDescent="0.3">
      <c r="A203" s="2">
        <v>1202</v>
      </c>
      <c r="B203" s="3">
        <v>45100</v>
      </c>
      <c r="C203" s="2" t="s">
        <v>12</v>
      </c>
      <c r="D203" s="2" t="s">
        <v>20</v>
      </c>
      <c r="E203" s="2" t="s">
        <v>21</v>
      </c>
      <c r="F203" s="2">
        <v>15011</v>
      </c>
      <c r="G203" s="2">
        <v>11305</v>
      </c>
    </row>
    <row r="204" spans="1:7" x14ac:dyDescent="0.3">
      <c r="A204" s="2">
        <v>1203</v>
      </c>
      <c r="B204" s="3">
        <v>45188</v>
      </c>
      <c r="C204" s="2" t="s">
        <v>12</v>
      </c>
      <c r="D204" s="2" t="s">
        <v>20</v>
      </c>
      <c r="E204" s="2" t="s">
        <v>25</v>
      </c>
      <c r="F204" s="2">
        <v>24358</v>
      </c>
      <c r="G204" s="2">
        <v>16341</v>
      </c>
    </row>
    <row r="205" spans="1:7" x14ac:dyDescent="0.3">
      <c r="A205" s="2">
        <v>1204</v>
      </c>
      <c r="B205" s="3">
        <v>45028</v>
      </c>
      <c r="C205" s="2" t="s">
        <v>15</v>
      </c>
      <c r="D205" s="2" t="s">
        <v>17</v>
      </c>
      <c r="E205" s="2" t="s">
        <v>22</v>
      </c>
      <c r="F205" s="2">
        <v>28218</v>
      </c>
      <c r="G205" s="2">
        <v>24983</v>
      </c>
    </row>
    <row r="206" spans="1:7" x14ac:dyDescent="0.3">
      <c r="A206" s="2">
        <v>1205</v>
      </c>
      <c r="B206" s="3">
        <v>45164</v>
      </c>
      <c r="C206" s="2" t="s">
        <v>13</v>
      </c>
      <c r="D206" s="2" t="s">
        <v>18</v>
      </c>
      <c r="E206" s="2" t="s">
        <v>23</v>
      </c>
      <c r="F206" s="2">
        <v>47363</v>
      </c>
      <c r="G206" s="2">
        <v>40697</v>
      </c>
    </row>
    <row r="207" spans="1:7" x14ac:dyDescent="0.3">
      <c r="A207" s="2">
        <v>1206</v>
      </c>
      <c r="B207" s="3">
        <v>45004</v>
      </c>
      <c r="C207" s="2" t="s">
        <v>14</v>
      </c>
      <c r="D207" s="2" t="s">
        <v>19</v>
      </c>
      <c r="E207" s="2" t="s">
        <v>24</v>
      </c>
      <c r="F207" s="2">
        <v>62961</v>
      </c>
      <c r="G207" s="2">
        <v>49702</v>
      </c>
    </row>
    <row r="208" spans="1:7" x14ac:dyDescent="0.3">
      <c r="A208" s="2">
        <v>1207</v>
      </c>
      <c r="B208" s="3">
        <v>45229</v>
      </c>
      <c r="C208" s="2" t="s">
        <v>9</v>
      </c>
      <c r="D208" s="2" t="s">
        <v>20</v>
      </c>
      <c r="E208" s="2" t="s">
        <v>23</v>
      </c>
      <c r="F208" s="2">
        <v>14724</v>
      </c>
      <c r="G208" s="2">
        <v>10205</v>
      </c>
    </row>
    <row r="209" spans="1:7" x14ac:dyDescent="0.3">
      <c r="A209" s="2">
        <v>1208</v>
      </c>
      <c r="B209" s="3">
        <v>44956</v>
      </c>
      <c r="C209" s="2" t="s">
        <v>10</v>
      </c>
      <c r="D209" s="2" t="s">
        <v>20</v>
      </c>
      <c r="E209" s="2" t="s">
        <v>22</v>
      </c>
      <c r="F209" s="2">
        <v>16835</v>
      </c>
      <c r="G209" s="2">
        <v>13207</v>
      </c>
    </row>
    <row r="210" spans="1:7" x14ac:dyDescent="0.3">
      <c r="A210" s="2">
        <v>1209</v>
      </c>
      <c r="B210" s="3">
        <v>45163</v>
      </c>
      <c r="C210" s="2" t="s">
        <v>13</v>
      </c>
      <c r="D210" s="2" t="s">
        <v>19</v>
      </c>
      <c r="E210" s="2" t="s">
        <v>24</v>
      </c>
      <c r="F210" s="2">
        <v>79928</v>
      </c>
      <c r="G210" s="2">
        <v>63586</v>
      </c>
    </row>
    <row r="211" spans="1:7" x14ac:dyDescent="0.3">
      <c r="A211" s="2">
        <v>1210</v>
      </c>
      <c r="B211" s="3">
        <v>45170</v>
      </c>
      <c r="C211" s="2" t="s">
        <v>11</v>
      </c>
      <c r="D211" s="2" t="s">
        <v>17</v>
      </c>
      <c r="E211" s="2" t="s">
        <v>22</v>
      </c>
      <c r="F211" s="2">
        <v>64050</v>
      </c>
      <c r="G211" s="2">
        <v>40418</v>
      </c>
    </row>
    <row r="212" spans="1:7" x14ac:dyDescent="0.3">
      <c r="A212" s="2">
        <v>1211</v>
      </c>
      <c r="B212" s="3">
        <v>45102</v>
      </c>
      <c r="C212" s="2" t="s">
        <v>8</v>
      </c>
      <c r="D212" s="2" t="s">
        <v>17</v>
      </c>
      <c r="E212" s="2" t="s">
        <v>22</v>
      </c>
      <c r="F212" s="2">
        <v>37472</v>
      </c>
      <c r="G212" s="2">
        <v>30438</v>
      </c>
    </row>
    <row r="213" spans="1:7" x14ac:dyDescent="0.3">
      <c r="A213" s="2">
        <v>1212</v>
      </c>
      <c r="B213" s="3">
        <v>45195</v>
      </c>
      <c r="C213" s="2" t="s">
        <v>11</v>
      </c>
      <c r="D213" s="2" t="s">
        <v>17</v>
      </c>
      <c r="E213" s="2" t="s">
        <v>25</v>
      </c>
      <c r="F213" s="2">
        <v>53870</v>
      </c>
      <c r="G213" s="2">
        <v>47156</v>
      </c>
    </row>
    <row r="214" spans="1:7" x14ac:dyDescent="0.3">
      <c r="A214" s="2">
        <v>1213</v>
      </c>
      <c r="B214" s="3">
        <v>45323</v>
      </c>
      <c r="C214" s="2" t="s">
        <v>10</v>
      </c>
      <c r="D214" s="2" t="s">
        <v>19</v>
      </c>
      <c r="E214" s="2" t="s">
        <v>25</v>
      </c>
      <c r="F214" s="2">
        <v>13639</v>
      </c>
      <c r="G214" s="2">
        <v>9532</v>
      </c>
    </row>
    <row r="215" spans="1:7" x14ac:dyDescent="0.3">
      <c r="A215" s="2">
        <v>1214</v>
      </c>
      <c r="B215" s="3">
        <v>45124</v>
      </c>
      <c r="C215" s="2" t="s">
        <v>7</v>
      </c>
      <c r="D215" s="2" t="s">
        <v>20</v>
      </c>
      <c r="E215" s="2" t="s">
        <v>23</v>
      </c>
      <c r="F215" s="2">
        <v>24709</v>
      </c>
      <c r="G215" s="2">
        <v>17296</v>
      </c>
    </row>
    <row r="216" spans="1:7" x14ac:dyDescent="0.3">
      <c r="A216" s="2">
        <v>1215</v>
      </c>
      <c r="B216" s="3">
        <v>44999</v>
      </c>
      <c r="C216" s="2" t="s">
        <v>10</v>
      </c>
      <c r="D216" s="2" t="s">
        <v>20</v>
      </c>
      <c r="E216" s="2" t="s">
        <v>24</v>
      </c>
      <c r="F216" s="2">
        <v>21901</v>
      </c>
      <c r="G216" s="2">
        <v>17050</v>
      </c>
    </row>
    <row r="217" spans="1:7" x14ac:dyDescent="0.3">
      <c r="A217" s="2">
        <v>1216</v>
      </c>
      <c r="B217" s="3">
        <v>45085</v>
      </c>
      <c r="C217" s="2" t="s">
        <v>11</v>
      </c>
      <c r="D217" s="2" t="s">
        <v>18</v>
      </c>
      <c r="E217" s="2" t="s">
        <v>25</v>
      </c>
      <c r="F217" s="2">
        <v>21750</v>
      </c>
      <c r="G217" s="2">
        <v>17422</v>
      </c>
    </row>
    <row r="218" spans="1:7" x14ac:dyDescent="0.3">
      <c r="A218" s="2">
        <v>1217</v>
      </c>
      <c r="B218" s="3">
        <v>45305</v>
      </c>
      <c r="C218" s="2" t="s">
        <v>11</v>
      </c>
      <c r="D218" s="2" t="s">
        <v>19</v>
      </c>
      <c r="E218" s="2" t="s">
        <v>24</v>
      </c>
      <c r="F218" s="2">
        <v>71648</v>
      </c>
      <c r="G218" s="2">
        <v>50766</v>
      </c>
    </row>
    <row r="219" spans="1:7" x14ac:dyDescent="0.3">
      <c r="A219" s="2">
        <v>1218</v>
      </c>
      <c r="B219" s="3">
        <v>45019</v>
      </c>
      <c r="C219" s="2" t="s">
        <v>12</v>
      </c>
      <c r="D219" s="2" t="s">
        <v>20</v>
      </c>
      <c r="E219" s="2" t="s">
        <v>24</v>
      </c>
      <c r="F219" s="2">
        <v>30166</v>
      </c>
      <c r="G219" s="2">
        <v>20149</v>
      </c>
    </row>
    <row r="220" spans="1:7" x14ac:dyDescent="0.3">
      <c r="A220" s="2">
        <v>1219</v>
      </c>
      <c r="B220" s="3">
        <v>44966</v>
      </c>
      <c r="C220" s="2" t="s">
        <v>7</v>
      </c>
      <c r="D220" s="2" t="s">
        <v>19</v>
      </c>
      <c r="E220" s="2" t="s">
        <v>23</v>
      </c>
      <c r="F220" s="2">
        <v>75748</v>
      </c>
      <c r="G220" s="2">
        <v>64426</v>
      </c>
    </row>
    <row r="221" spans="1:7" x14ac:dyDescent="0.3">
      <c r="A221" s="2">
        <v>1220</v>
      </c>
      <c r="B221" s="3">
        <v>44946</v>
      </c>
      <c r="C221" s="2" t="s">
        <v>10</v>
      </c>
      <c r="D221" s="2" t="s">
        <v>17</v>
      </c>
      <c r="E221" s="2" t="s">
        <v>23</v>
      </c>
      <c r="F221" s="2">
        <v>54377</v>
      </c>
      <c r="G221" s="2">
        <v>35142</v>
      </c>
    </row>
    <row r="222" spans="1:7" x14ac:dyDescent="0.3">
      <c r="A222" s="2">
        <v>1221</v>
      </c>
      <c r="B222" s="3">
        <v>45281</v>
      </c>
      <c r="C222" s="2" t="s">
        <v>13</v>
      </c>
      <c r="D222" s="2" t="s">
        <v>17</v>
      </c>
      <c r="E222" s="2" t="s">
        <v>24</v>
      </c>
      <c r="F222" s="2">
        <v>10726</v>
      </c>
      <c r="G222" s="2">
        <v>7757</v>
      </c>
    </row>
    <row r="223" spans="1:7" x14ac:dyDescent="0.3">
      <c r="A223" s="2">
        <v>1222</v>
      </c>
      <c r="B223" s="3">
        <v>45048</v>
      </c>
      <c r="C223" s="2" t="s">
        <v>14</v>
      </c>
      <c r="D223" s="2" t="s">
        <v>20</v>
      </c>
      <c r="E223" s="2" t="s">
        <v>24</v>
      </c>
      <c r="F223" s="2">
        <v>35671</v>
      </c>
      <c r="G223" s="2">
        <v>27117</v>
      </c>
    </row>
    <row r="224" spans="1:7" x14ac:dyDescent="0.3">
      <c r="A224" s="2">
        <v>1223</v>
      </c>
      <c r="B224" s="3">
        <v>45341</v>
      </c>
      <c r="C224" s="2" t="s">
        <v>14</v>
      </c>
      <c r="D224" s="2" t="s">
        <v>17</v>
      </c>
      <c r="E224" s="2" t="s">
        <v>25</v>
      </c>
      <c r="F224" s="2">
        <v>79766</v>
      </c>
      <c r="G224" s="2">
        <v>71417</v>
      </c>
    </row>
    <row r="225" spans="1:7" x14ac:dyDescent="0.3">
      <c r="A225" s="2">
        <v>1224</v>
      </c>
      <c r="B225" s="3">
        <v>45071</v>
      </c>
      <c r="C225" s="2" t="s">
        <v>16</v>
      </c>
      <c r="D225" s="2" t="s">
        <v>18</v>
      </c>
      <c r="E225" s="2" t="s">
        <v>21</v>
      </c>
      <c r="F225" s="2">
        <v>31174</v>
      </c>
      <c r="G225" s="2">
        <v>26197</v>
      </c>
    </row>
    <row r="226" spans="1:7" x14ac:dyDescent="0.3">
      <c r="A226" s="2">
        <v>1225</v>
      </c>
      <c r="B226" s="3">
        <v>45055</v>
      </c>
      <c r="C226" s="2" t="s">
        <v>9</v>
      </c>
      <c r="D226" s="2" t="s">
        <v>18</v>
      </c>
      <c r="E226" s="2" t="s">
        <v>25</v>
      </c>
      <c r="F226" s="2">
        <v>77684</v>
      </c>
      <c r="G226" s="2">
        <v>68384</v>
      </c>
    </row>
    <row r="227" spans="1:7" x14ac:dyDescent="0.3">
      <c r="A227" s="2">
        <v>1226</v>
      </c>
      <c r="B227" s="3">
        <v>45191</v>
      </c>
      <c r="C227" s="2" t="s">
        <v>8</v>
      </c>
      <c r="D227" s="2" t="s">
        <v>20</v>
      </c>
      <c r="E227" s="2" t="s">
        <v>22</v>
      </c>
      <c r="F227" s="2">
        <v>26012</v>
      </c>
      <c r="G227" s="2">
        <v>17735</v>
      </c>
    </row>
    <row r="228" spans="1:7" x14ac:dyDescent="0.3">
      <c r="A228" s="2">
        <v>1227</v>
      </c>
      <c r="B228" s="3">
        <v>45002</v>
      </c>
      <c r="C228" s="2" t="s">
        <v>16</v>
      </c>
      <c r="D228" s="2" t="s">
        <v>19</v>
      </c>
      <c r="E228" s="2" t="s">
        <v>21</v>
      </c>
      <c r="F228" s="2">
        <v>64130</v>
      </c>
      <c r="G228" s="2">
        <v>55497</v>
      </c>
    </row>
    <row r="229" spans="1:7" x14ac:dyDescent="0.3">
      <c r="A229" s="2">
        <v>1228</v>
      </c>
      <c r="B229" s="3">
        <v>45139</v>
      </c>
      <c r="C229" s="2" t="s">
        <v>9</v>
      </c>
      <c r="D229" s="2" t="s">
        <v>18</v>
      </c>
      <c r="E229" s="2" t="s">
        <v>23</v>
      </c>
      <c r="F229" s="2">
        <v>54015</v>
      </c>
      <c r="G229" s="2">
        <v>36229</v>
      </c>
    </row>
    <row r="230" spans="1:7" x14ac:dyDescent="0.3">
      <c r="A230" s="2">
        <v>1229</v>
      </c>
      <c r="B230" s="3">
        <v>45118</v>
      </c>
      <c r="C230" s="2" t="s">
        <v>12</v>
      </c>
      <c r="D230" s="2" t="s">
        <v>19</v>
      </c>
      <c r="E230" s="2" t="s">
        <v>25</v>
      </c>
      <c r="F230" s="2">
        <v>17987</v>
      </c>
      <c r="G230" s="2">
        <v>15320</v>
      </c>
    </row>
    <row r="231" spans="1:7" x14ac:dyDescent="0.3">
      <c r="A231" s="2">
        <v>1230</v>
      </c>
      <c r="B231" s="3">
        <v>45332</v>
      </c>
      <c r="C231" s="2" t="s">
        <v>15</v>
      </c>
      <c r="D231" s="2" t="s">
        <v>17</v>
      </c>
      <c r="E231" s="2" t="s">
        <v>22</v>
      </c>
      <c r="F231" s="2">
        <v>42601</v>
      </c>
      <c r="G231" s="2">
        <v>37285</v>
      </c>
    </row>
    <row r="232" spans="1:7" x14ac:dyDescent="0.3">
      <c r="A232" s="2">
        <v>1231</v>
      </c>
      <c r="B232" s="3">
        <v>45352</v>
      </c>
      <c r="C232" s="2" t="s">
        <v>15</v>
      </c>
      <c r="D232" s="2" t="s">
        <v>18</v>
      </c>
      <c r="E232" s="2" t="s">
        <v>24</v>
      </c>
      <c r="F232" s="2">
        <v>5688</v>
      </c>
      <c r="G232" s="2">
        <v>4958</v>
      </c>
    </row>
    <row r="233" spans="1:7" x14ac:dyDescent="0.3">
      <c r="A233" s="2">
        <v>1232</v>
      </c>
      <c r="B233" s="3"/>
      <c r="C233" s="2" t="s">
        <v>12</v>
      </c>
      <c r="D233" s="2" t="s">
        <v>17</v>
      </c>
      <c r="E233" s="2" t="s">
        <v>23</v>
      </c>
      <c r="F233" s="2">
        <v>74176</v>
      </c>
      <c r="G233" s="2">
        <v>53924</v>
      </c>
    </row>
    <row r="234" spans="1:7" x14ac:dyDescent="0.3">
      <c r="A234" s="2">
        <v>1233</v>
      </c>
      <c r="B234" s="3">
        <v>45048</v>
      </c>
      <c r="C234" s="2" t="s">
        <v>7</v>
      </c>
      <c r="D234" s="2" t="s">
        <v>19</v>
      </c>
      <c r="E234" s="2" t="s">
        <v>22</v>
      </c>
      <c r="F234" s="2">
        <v>36252</v>
      </c>
      <c r="G234" s="2">
        <v>26317</v>
      </c>
    </row>
    <row r="235" spans="1:7" x14ac:dyDescent="0.3">
      <c r="A235" s="2">
        <v>1234</v>
      </c>
      <c r="B235" s="3">
        <v>45161</v>
      </c>
      <c r="C235" s="2" t="s">
        <v>8</v>
      </c>
      <c r="D235" s="2" t="s">
        <v>19</v>
      </c>
      <c r="E235" s="2" t="s">
        <v>24</v>
      </c>
      <c r="F235" s="2">
        <v>75261</v>
      </c>
      <c r="G235" s="2">
        <v>45527</v>
      </c>
    </row>
    <row r="236" spans="1:7" x14ac:dyDescent="0.3">
      <c r="A236" s="2">
        <v>1235</v>
      </c>
      <c r="B236" s="3">
        <v>45050</v>
      </c>
      <c r="C236" s="2" t="s">
        <v>15</v>
      </c>
      <c r="D236" s="2" t="s">
        <v>20</v>
      </c>
      <c r="E236" s="2" t="s">
        <v>24</v>
      </c>
      <c r="F236" s="2">
        <v>5205</v>
      </c>
      <c r="G236" s="2">
        <v>4083</v>
      </c>
    </row>
    <row r="237" spans="1:7" x14ac:dyDescent="0.3">
      <c r="A237" s="2">
        <v>1236</v>
      </c>
      <c r="B237" s="3">
        <v>45140</v>
      </c>
      <c r="C237" s="2" t="s">
        <v>15</v>
      </c>
      <c r="D237" s="2" t="s">
        <v>19</v>
      </c>
      <c r="E237" s="2" t="s">
        <v>23</v>
      </c>
      <c r="F237" s="2">
        <v>52265</v>
      </c>
      <c r="G237" s="2">
        <v>32420</v>
      </c>
    </row>
    <row r="238" spans="1:7" x14ac:dyDescent="0.3">
      <c r="A238" s="2">
        <v>1237</v>
      </c>
      <c r="B238" s="3">
        <v>45186</v>
      </c>
      <c r="C238" s="2" t="s">
        <v>11</v>
      </c>
      <c r="D238" s="2" t="s">
        <v>19</v>
      </c>
      <c r="E238" s="2" t="s">
        <v>24</v>
      </c>
      <c r="F238" s="2">
        <v>66621</v>
      </c>
      <c r="G238" s="2">
        <v>40842</v>
      </c>
    </row>
    <row r="239" spans="1:7" x14ac:dyDescent="0.3">
      <c r="A239" s="2">
        <v>1238</v>
      </c>
      <c r="B239" s="3">
        <v>45118</v>
      </c>
      <c r="C239" s="2" t="s">
        <v>7</v>
      </c>
      <c r="D239" s="2" t="s">
        <v>19</v>
      </c>
      <c r="E239" s="2" t="s">
        <v>25</v>
      </c>
      <c r="F239" s="2">
        <v>13855</v>
      </c>
      <c r="G239" s="2">
        <v>9746</v>
      </c>
    </row>
    <row r="240" spans="1:7" x14ac:dyDescent="0.3">
      <c r="A240" s="2">
        <v>1239</v>
      </c>
      <c r="B240" s="3">
        <v>45248</v>
      </c>
      <c r="C240" s="2" t="s">
        <v>8</v>
      </c>
      <c r="D240" s="2" t="s">
        <v>20</v>
      </c>
      <c r="E240" s="2" t="s">
        <v>21</v>
      </c>
      <c r="F240" s="2">
        <v>10811</v>
      </c>
      <c r="G240" s="2">
        <v>7629</v>
      </c>
    </row>
    <row r="241" spans="1:7" x14ac:dyDescent="0.3">
      <c r="A241" s="2">
        <v>1240</v>
      </c>
      <c r="B241" s="3">
        <v>45256</v>
      </c>
      <c r="C241" s="2" t="s">
        <v>15</v>
      </c>
      <c r="D241" s="2" t="s">
        <v>18</v>
      </c>
      <c r="E241" s="2" t="s">
        <v>24</v>
      </c>
      <c r="F241" s="2">
        <v>28891</v>
      </c>
      <c r="G241" s="2">
        <v>24368</v>
      </c>
    </row>
    <row r="242" spans="1:7" x14ac:dyDescent="0.3">
      <c r="A242" s="2">
        <v>1241</v>
      </c>
      <c r="B242" s="3">
        <v>45324</v>
      </c>
      <c r="C242" s="2" t="s">
        <v>14</v>
      </c>
      <c r="D242" s="2" t="s">
        <v>19</v>
      </c>
      <c r="E242" s="2" t="s">
        <v>25</v>
      </c>
      <c r="F242" s="2">
        <v>31422</v>
      </c>
      <c r="G242" s="2">
        <v>19266</v>
      </c>
    </row>
    <row r="243" spans="1:7" x14ac:dyDescent="0.3">
      <c r="A243" s="2">
        <v>1242</v>
      </c>
      <c r="B243" s="3">
        <v>44948</v>
      </c>
      <c r="C243" s="2" t="s">
        <v>10</v>
      </c>
      <c r="D243" s="2" t="s">
        <v>20</v>
      </c>
      <c r="E243" s="2" t="s">
        <v>23</v>
      </c>
      <c r="F243" s="2">
        <v>57196</v>
      </c>
      <c r="G243" s="2">
        <v>51289</v>
      </c>
    </row>
    <row r="244" spans="1:7" x14ac:dyDescent="0.3">
      <c r="A244" s="2">
        <v>1243</v>
      </c>
      <c r="B244" s="3">
        <v>45056</v>
      </c>
      <c r="C244" s="2" t="s">
        <v>9</v>
      </c>
      <c r="D244" s="2" t="s">
        <v>17</v>
      </c>
      <c r="E244" s="2" t="s">
        <v>25</v>
      </c>
      <c r="F244" s="2">
        <v>51789</v>
      </c>
      <c r="G244" s="2">
        <v>44468</v>
      </c>
    </row>
    <row r="245" spans="1:7" x14ac:dyDescent="0.3">
      <c r="A245" s="2">
        <v>1244</v>
      </c>
      <c r="B245" s="3"/>
      <c r="C245" s="2" t="s">
        <v>10</v>
      </c>
      <c r="D245" s="2" t="s">
        <v>20</v>
      </c>
      <c r="E245" s="2" t="s">
        <v>22</v>
      </c>
      <c r="F245" s="2">
        <v>53237</v>
      </c>
      <c r="G245" s="2">
        <v>38920</v>
      </c>
    </row>
    <row r="246" spans="1:7" x14ac:dyDescent="0.3">
      <c r="A246" s="2">
        <v>1245</v>
      </c>
      <c r="B246" s="3">
        <v>45152</v>
      </c>
      <c r="C246" s="2" t="s">
        <v>16</v>
      </c>
      <c r="D246" s="2" t="s">
        <v>20</v>
      </c>
      <c r="E246" s="2" t="s">
        <v>21</v>
      </c>
      <c r="F246" s="2">
        <v>70038</v>
      </c>
      <c r="G246" s="2">
        <v>56564</v>
      </c>
    </row>
    <row r="247" spans="1:7" x14ac:dyDescent="0.3">
      <c r="A247" s="2">
        <v>1246</v>
      </c>
      <c r="B247" s="3">
        <v>45335</v>
      </c>
      <c r="C247" s="2" t="s">
        <v>11</v>
      </c>
      <c r="D247" s="2" t="s">
        <v>20</v>
      </c>
      <c r="E247" s="2" t="s">
        <v>22</v>
      </c>
      <c r="F247" s="2">
        <v>60640</v>
      </c>
      <c r="G247" s="2">
        <v>37819</v>
      </c>
    </row>
    <row r="248" spans="1:7" x14ac:dyDescent="0.3">
      <c r="A248" s="2">
        <v>1247</v>
      </c>
      <c r="B248" s="3">
        <v>45348</v>
      </c>
      <c r="C248" s="2" t="s">
        <v>15</v>
      </c>
      <c r="D248" s="2" t="s">
        <v>20</v>
      </c>
      <c r="E248" s="2" t="s">
        <v>25</v>
      </c>
      <c r="F248" s="2">
        <v>18447</v>
      </c>
      <c r="G248" s="2">
        <v>11511</v>
      </c>
    </row>
    <row r="249" spans="1:7" x14ac:dyDescent="0.3">
      <c r="A249" s="2">
        <v>1248</v>
      </c>
      <c r="B249" s="3">
        <v>45083</v>
      </c>
      <c r="C249" s="2" t="s">
        <v>14</v>
      </c>
      <c r="D249" s="2" t="s">
        <v>18</v>
      </c>
      <c r="E249" s="2" t="s">
        <v>21</v>
      </c>
      <c r="F249" s="2">
        <v>63183</v>
      </c>
      <c r="G249" s="2">
        <v>44573</v>
      </c>
    </row>
    <row r="250" spans="1:7" x14ac:dyDescent="0.3">
      <c r="A250" s="2">
        <v>1249</v>
      </c>
      <c r="B250" s="3"/>
      <c r="C250" s="2" t="s">
        <v>10</v>
      </c>
      <c r="D250" s="2" t="s">
        <v>18</v>
      </c>
      <c r="E250" s="2" t="s">
        <v>25</v>
      </c>
      <c r="F250" s="2">
        <v>12518</v>
      </c>
      <c r="G250" s="2">
        <v>7792</v>
      </c>
    </row>
    <row r="251" spans="1:7" x14ac:dyDescent="0.3">
      <c r="A251" s="2">
        <v>1250</v>
      </c>
      <c r="B251" s="3">
        <v>45113</v>
      </c>
      <c r="C251" s="2" t="s">
        <v>11</v>
      </c>
      <c r="D251" s="2" t="s">
        <v>17</v>
      </c>
      <c r="E251" s="2" t="s">
        <v>22</v>
      </c>
      <c r="F251" s="2">
        <v>23714</v>
      </c>
      <c r="G251" s="2">
        <v>20266</v>
      </c>
    </row>
    <row r="252" spans="1:7" x14ac:dyDescent="0.3">
      <c r="A252" s="2">
        <v>1251</v>
      </c>
      <c r="B252" s="3">
        <v>45151</v>
      </c>
      <c r="C252" s="2" t="s">
        <v>9</v>
      </c>
      <c r="D252" s="2" t="s">
        <v>17</v>
      </c>
      <c r="E252" s="2" t="s">
        <v>22</v>
      </c>
      <c r="F252" s="2">
        <v>35932</v>
      </c>
      <c r="G252" s="2">
        <v>29951</v>
      </c>
    </row>
    <row r="253" spans="1:7" x14ac:dyDescent="0.3">
      <c r="A253" s="2">
        <v>1252</v>
      </c>
      <c r="B253" s="3">
        <v>45123</v>
      </c>
      <c r="C253" s="2" t="s">
        <v>13</v>
      </c>
      <c r="D253" s="2" t="s">
        <v>19</v>
      </c>
      <c r="E253" s="2" t="s">
        <v>23</v>
      </c>
      <c r="F253" s="2">
        <v>25111</v>
      </c>
      <c r="G253" s="2">
        <v>20182</v>
      </c>
    </row>
    <row r="254" spans="1:7" x14ac:dyDescent="0.3">
      <c r="A254" s="2">
        <v>1253</v>
      </c>
      <c r="B254" s="3">
        <v>45117</v>
      </c>
      <c r="C254" s="2" t="s">
        <v>14</v>
      </c>
      <c r="D254" s="2" t="s">
        <v>19</v>
      </c>
      <c r="E254" s="2" t="s">
        <v>23</v>
      </c>
      <c r="F254" s="2">
        <v>23047</v>
      </c>
      <c r="G254" s="2">
        <v>17488</v>
      </c>
    </row>
    <row r="255" spans="1:7" x14ac:dyDescent="0.3">
      <c r="A255" s="2">
        <v>1254</v>
      </c>
      <c r="B255" s="3">
        <v>45259</v>
      </c>
      <c r="C255" s="2" t="s">
        <v>7</v>
      </c>
      <c r="D255" s="2" t="s">
        <v>17</v>
      </c>
      <c r="E255" s="2" t="s">
        <v>22</v>
      </c>
      <c r="F255" s="2">
        <v>8396</v>
      </c>
      <c r="G255" s="2">
        <v>6890</v>
      </c>
    </row>
    <row r="256" spans="1:7" x14ac:dyDescent="0.3">
      <c r="A256" s="2">
        <v>1255</v>
      </c>
      <c r="B256" s="3">
        <v>45125</v>
      </c>
      <c r="C256" s="2" t="s">
        <v>11</v>
      </c>
      <c r="D256" s="2" t="s">
        <v>19</v>
      </c>
      <c r="E256" s="2" t="s">
        <v>25</v>
      </c>
      <c r="F256" s="2">
        <v>39116</v>
      </c>
      <c r="G256" s="2">
        <v>31731</v>
      </c>
    </row>
    <row r="257" spans="1:7" x14ac:dyDescent="0.3">
      <c r="A257" s="2">
        <v>1256</v>
      </c>
      <c r="B257" s="3">
        <v>45240</v>
      </c>
      <c r="C257" s="2" t="s">
        <v>7</v>
      </c>
      <c r="D257" s="2" t="s">
        <v>18</v>
      </c>
      <c r="E257" s="2" t="s">
        <v>21</v>
      </c>
      <c r="F257" s="2">
        <v>21074</v>
      </c>
      <c r="G257" s="2">
        <v>13502</v>
      </c>
    </row>
    <row r="258" spans="1:7" x14ac:dyDescent="0.3">
      <c r="A258" s="2">
        <v>1257</v>
      </c>
      <c r="B258" s="3">
        <v>45015</v>
      </c>
      <c r="C258" s="2" t="s">
        <v>14</v>
      </c>
      <c r="D258" s="2" t="s">
        <v>19</v>
      </c>
      <c r="E258" s="2" t="s">
        <v>25</v>
      </c>
      <c r="F258" s="2">
        <v>50537</v>
      </c>
      <c r="G258" s="2">
        <v>41079</v>
      </c>
    </row>
    <row r="259" spans="1:7" x14ac:dyDescent="0.3">
      <c r="A259" s="2">
        <v>1258</v>
      </c>
      <c r="B259" s="3">
        <v>45075</v>
      </c>
      <c r="C259" s="2" t="s">
        <v>7</v>
      </c>
      <c r="D259" s="2" t="s">
        <v>17</v>
      </c>
      <c r="E259" s="2" t="s">
        <v>21</v>
      </c>
      <c r="F259" s="2">
        <v>52381</v>
      </c>
      <c r="G259" s="2">
        <v>39423</v>
      </c>
    </row>
    <row r="260" spans="1:7" x14ac:dyDescent="0.3">
      <c r="A260" s="2">
        <v>1259</v>
      </c>
      <c r="B260" s="3">
        <v>45029</v>
      </c>
      <c r="C260" s="2" t="s">
        <v>15</v>
      </c>
      <c r="D260" s="2" t="s">
        <v>17</v>
      </c>
      <c r="E260" s="2" t="s">
        <v>24</v>
      </c>
      <c r="F260" s="2">
        <v>8445</v>
      </c>
      <c r="G260" s="2">
        <v>5981</v>
      </c>
    </row>
    <row r="261" spans="1:7" x14ac:dyDescent="0.3">
      <c r="A261" s="2">
        <v>1260</v>
      </c>
      <c r="B261" s="3">
        <v>45166</v>
      </c>
      <c r="C261" s="2" t="s">
        <v>11</v>
      </c>
      <c r="D261" s="2" t="s">
        <v>17</v>
      </c>
      <c r="E261" s="2" t="s">
        <v>23</v>
      </c>
      <c r="F261" s="2">
        <v>16300</v>
      </c>
      <c r="G261" s="2">
        <v>10101</v>
      </c>
    </row>
    <row r="262" spans="1:7" x14ac:dyDescent="0.3">
      <c r="A262" s="2">
        <v>1261</v>
      </c>
      <c r="B262" s="3">
        <v>45294</v>
      </c>
      <c r="C262" s="2" t="s">
        <v>14</v>
      </c>
      <c r="D262" s="2" t="s">
        <v>18</v>
      </c>
      <c r="E262" s="2" t="s">
        <v>24</v>
      </c>
      <c r="F262" s="2">
        <v>14666</v>
      </c>
      <c r="G262" s="2">
        <v>9351</v>
      </c>
    </row>
    <row r="263" spans="1:7" x14ac:dyDescent="0.3">
      <c r="A263" s="2">
        <v>1262</v>
      </c>
      <c r="B263" s="3">
        <v>44964</v>
      </c>
      <c r="C263" s="2" t="s">
        <v>14</v>
      </c>
      <c r="D263" s="2" t="s">
        <v>18</v>
      </c>
      <c r="E263" s="2" t="s">
        <v>23</v>
      </c>
      <c r="F263" s="2">
        <v>50156</v>
      </c>
      <c r="G263" s="2">
        <v>32024</v>
      </c>
    </row>
    <row r="264" spans="1:7" x14ac:dyDescent="0.3">
      <c r="A264" s="2">
        <v>1263</v>
      </c>
      <c r="B264" s="3">
        <v>45209</v>
      </c>
      <c r="C264" s="2" t="s">
        <v>13</v>
      </c>
      <c r="D264" s="2" t="s">
        <v>17</v>
      </c>
      <c r="E264" s="2" t="s">
        <v>21</v>
      </c>
      <c r="F264" s="2">
        <v>61704</v>
      </c>
      <c r="G264" s="2">
        <v>46331</v>
      </c>
    </row>
    <row r="265" spans="1:7" x14ac:dyDescent="0.3">
      <c r="A265" s="2">
        <v>1264</v>
      </c>
      <c r="B265" s="3">
        <v>45352</v>
      </c>
      <c r="C265" s="2" t="s">
        <v>8</v>
      </c>
      <c r="D265" s="2" t="s">
        <v>17</v>
      </c>
      <c r="E265" s="2" t="s">
        <v>25</v>
      </c>
      <c r="F265" s="2">
        <v>26581</v>
      </c>
      <c r="G265" s="2">
        <v>17240</v>
      </c>
    </row>
    <row r="266" spans="1:7" x14ac:dyDescent="0.3">
      <c r="A266" s="2">
        <v>1265</v>
      </c>
      <c r="B266" s="3">
        <v>45042</v>
      </c>
      <c r="C266" s="2" t="s">
        <v>10</v>
      </c>
      <c r="D266" s="2" t="s">
        <v>20</v>
      </c>
      <c r="E266" s="2" t="s">
        <v>22</v>
      </c>
      <c r="F266" s="2">
        <v>37847</v>
      </c>
      <c r="G266" s="2">
        <v>24937</v>
      </c>
    </row>
    <row r="267" spans="1:7" x14ac:dyDescent="0.3">
      <c r="A267" s="2">
        <v>1266</v>
      </c>
      <c r="B267" s="3">
        <v>45067</v>
      </c>
      <c r="C267" s="2" t="s">
        <v>15</v>
      </c>
      <c r="D267" s="2" t="s">
        <v>20</v>
      </c>
      <c r="E267" s="2" t="s">
        <v>23</v>
      </c>
      <c r="F267" s="2">
        <v>74924</v>
      </c>
      <c r="G267" s="2">
        <v>47054</v>
      </c>
    </row>
    <row r="268" spans="1:7" x14ac:dyDescent="0.3">
      <c r="A268" s="2">
        <v>1267</v>
      </c>
      <c r="B268" s="3">
        <v>45230</v>
      </c>
      <c r="C268" s="2" t="s">
        <v>13</v>
      </c>
      <c r="D268" s="2" t="s">
        <v>17</v>
      </c>
      <c r="E268" s="2" t="s">
        <v>21</v>
      </c>
      <c r="F268" s="2">
        <v>49252</v>
      </c>
      <c r="G268" s="2">
        <v>42000</v>
      </c>
    </row>
    <row r="269" spans="1:7" x14ac:dyDescent="0.3">
      <c r="A269" s="2">
        <v>1268</v>
      </c>
      <c r="B269" s="3">
        <v>45349</v>
      </c>
      <c r="C269" s="2" t="s">
        <v>9</v>
      </c>
      <c r="D269" s="2" t="s">
        <v>19</v>
      </c>
      <c r="E269" s="2" t="s">
        <v>22</v>
      </c>
      <c r="F269" s="2">
        <v>39688</v>
      </c>
      <c r="G269" s="2">
        <v>31565</v>
      </c>
    </row>
    <row r="270" spans="1:7" x14ac:dyDescent="0.3">
      <c r="A270" s="2">
        <v>1269</v>
      </c>
      <c r="B270" s="3">
        <v>45140</v>
      </c>
      <c r="C270" s="2" t="s">
        <v>13</v>
      </c>
      <c r="D270" s="2" t="s">
        <v>19</v>
      </c>
      <c r="E270" s="2" t="s">
        <v>24</v>
      </c>
      <c r="F270" s="2">
        <v>76509</v>
      </c>
      <c r="G270" s="2">
        <v>52554</v>
      </c>
    </row>
    <row r="271" spans="1:7" x14ac:dyDescent="0.3">
      <c r="A271" s="2">
        <v>1270</v>
      </c>
      <c r="B271" s="3">
        <v>45174</v>
      </c>
      <c r="C271" s="2" t="s">
        <v>12</v>
      </c>
      <c r="D271" s="2" t="s">
        <v>18</v>
      </c>
      <c r="E271" s="2" t="s">
        <v>25</v>
      </c>
      <c r="F271" s="2">
        <v>64446</v>
      </c>
      <c r="G271" s="2">
        <v>40078</v>
      </c>
    </row>
    <row r="272" spans="1:7" x14ac:dyDescent="0.3">
      <c r="A272" s="2">
        <v>1271</v>
      </c>
      <c r="B272" s="3">
        <v>45152</v>
      </c>
      <c r="C272" s="2" t="s">
        <v>16</v>
      </c>
      <c r="D272" s="2" t="s">
        <v>18</v>
      </c>
      <c r="E272" s="2" t="s">
        <v>24</v>
      </c>
      <c r="F272" s="2">
        <v>31741</v>
      </c>
      <c r="G272" s="2">
        <v>22284</v>
      </c>
    </row>
    <row r="273" spans="1:7" x14ac:dyDescent="0.3">
      <c r="A273" s="2">
        <v>1272</v>
      </c>
      <c r="B273" s="3">
        <v>45368</v>
      </c>
      <c r="C273" s="2" t="s">
        <v>10</v>
      </c>
      <c r="D273" s="2" t="s">
        <v>20</v>
      </c>
      <c r="E273" s="2" t="s">
        <v>24</v>
      </c>
      <c r="F273" s="2">
        <v>22139</v>
      </c>
      <c r="G273" s="2">
        <v>18335</v>
      </c>
    </row>
    <row r="274" spans="1:7" x14ac:dyDescent="0.3">
      <c r="A274" s="2">
        <v>1273</v>
      </c>
      <c r="B274" s="3">
        <v>44981</v>
      </c>
      <c r="C274" s="2" t="s">
        <v>10</v>
      </c>
      <c r="D274" s="2" t="s">
        <v>17</v>
      </c>
      <c r="E274" s="2" t="s">
        <v>24</v>
      </c>
      <c r="F274" s="2">
        <v>21059</v>
      </c>
      <c r="G274" s="2">
        <v>14325</v>
      </c>
    </row>
    <row r="275" spans="1:7" x14ac:dyDescent="0.3">
      <c r="A275" s="2">
        <v>1274</v>
      </c>
      <c r="B275" s="3">
        <v>44976</v>
      </c>
      <c r="C275" s="2" t="s">
        <v>9</v>
      </c>
      <c r="D275" s="2" t="s">
        <v>20</v>
      </c>
      <c r="E275" s="2" t="s">
        <v>24</v>
      </c>
      <c r="F275" s="2">
        <v>59805</v>
      </c>
      <c r="G275" s="2">
        <v>40337</v>
      </c>
    </row>
    <row r="276" spans="1:7" x14ac:dyDescent="0.3">
      <c r="A276" s="2">
        <v>1275</v>
      </c>
      <c r="B276" s="3">
        <v>45008</v>
      </c>
      <c r="C276" s="2" t="s">
        <v>10</v>
      </c>
      <c r="D276" s="2" t="s">
        <v>20</v>
      </c>
      <c r="E276" s="2" t="s">
        <v>21</v>
      </c>
      <c r="F276" s="2">
        <v>25885</v>
      </c>
      <c r="G276" s="2">
        <v>19400</v>
      </c>
    </row>
    <row r="277" spans="1:7" x14ac:dyDescent="0.3">
      <c r="A277" s="2">
        <v>1276</v>
      </c>
      <c r="B277" s="3">
        <v>45182</v>
      </c>
      <c r="C277" s="2" t="s">
        <v>7</v>
      </c>
      <c r="D277" s="2" t="s">
        <v>18</v>
      </c>
      <c r="E277" s="2" t="s">
        <v>22</v>
      </c>
      <c r="F277" s="2">
        <v>16802</v>
      </c>
      <c r="G277" s="2">
        <v>14845</v>
      </c>
    </row>
    <row r="278" spans="1:7" x14ac:dyDescent="0.3">
      <c r="A278" s="2">
        <v>1277</v>
      </c>
      <c r="B278" s="3">
        <v>45050</v>
      </c>
      <c r="C278" s="2" t="s">
        <v>12</v>
      </c>
      <c r="D278" s="2" t="s">
        <v>20</v>
      </c>
      <c r="E278" s="2" t="s">
        <v>22</v>
      </c>
      <c r="F278" s="2">
        <v>11624</v>
      </c>
      <c r="G278" s="2">
        <v>7955</v>
      </c>
    </row>
    <row r="279" spans="1:7" x14ac:dyDescent="0.3">
      <c r="A279" s="2">
        <v>1278</v>
      </c>
      <c r="B279" s="3">
        <v>45358</v>
      </c>
      <c r="C279" s="2" t="s">
        <v>14</v>
      </c>
      <c r="D279" s="2" t="s">
        <v>20</v>
      </c>
      <c r="E279" s="2" t="s">
        <v>23</v>
      </c>
      <c r="F279" s="2">
        <v>6071</v>
      </c>
      <c r="G279" s="2">
        <v>5185</v>
      </c>
    </row>
    <row r="280" spans="1:7" x14ac:dyDescent="0.3">
      <c r="A280" s="2">
        <v>1279</v>
      </c>
      <c r="B280" s="3">
        <v>45062</v>
      </c>
      <c r="C280" s="2" t="s">
        <v>10</v>
      </c>
      <c r="D280" s="2" t="s">
        <v>18</v>
      </c>
      <c r="E280" s="2" t="s">
        <v>25</v>
      </c>
      <c r="F280" s="2">
        <v>10930</v>
      </c>
      <c r="G280" s="2">
        <v>7871</v>
      </c>
    </row>
    <row r="281" spans="1:7" x14ac:dyDescent="0.3">
      <c r="A281" s="2">
        <v>1280</v>
      </c>
      <c r="B281" s="3">
        <v>45026</v>
      </c>
      <c r="C281" s="2" t="s">
        <v>10</v>
      </c>
      <c r="D281" s="2" t="s">
        <v>20</v>
      </c>
      <c r="E281" s="2" t="s">
        <v>22</v>
      </c>
      <c r="F281" s="2">
        <v>55639</v>
      </c>
      <c r="G281" s="2">
        <v>41800</v>
      </c>
    </row>
    <row r="282" spans="1:7" x14ac:dyDescent="0.3">
      <c r="A282" s="2">
        <v>1281</v>
      </c>
      <c r="B282" s="3">
        <v>45070</v>
      </c>
      <c r="C282" s="2" t="s">
        <v>13</v>
      </c>
      <c r="D282" s="2" t="s">
        <v>19</v>
      </c>
      <c r="E282" s="2" t="s">
        <v>21</v>
      </c>
      <c r="F282" s="2">
        <v>17672</v>
      </c>
      <c r="G282" s="2">
        <v>12691</v>
      </c>
    </row>
    <row r="283" spans="1:7" x14ac:dyDescent="0.3">
      <c r="A283" s="2">
        <v>1282</v>
      </c>
      <c r="B283" s="3">
        <v>45100</v>
      </c>
      <c r="C283" s="2" t="s">
        <v>11</v>
      </c>
      <c r="D283" s="2" t="s">
        <v>20</v>
      </c>
      <c r="E283" s="2" t="s">
        <v>21</v>
      </c>
      <c r="F283" s="2">
        <v>31090</v>
      </c>
      <c r="G283" s="2">
        <v>24273</v>
      </c>
    </row>
    <row r="284" spans="1:7" x14ac:dyDescent="0.3">
      <c r="A284" s="2">
        <v>1283</v>
      </c>
      <c r="B284" s="3">
        <v>44947</v>
      </c>
      <c r="C284" s="2" t="s">
        <v>9</v>
      </c>
      <c r="D284" s="2" t="s">
        <v>19</v>
      </c>
      <c r="E284" s="2" t="s">
        <v>21</v>
      </c>
      <c r="F284" s="2">
        <v>48652</v>
      </c>
      <c r="G284" s="2">
        <v>40925</v>
      </c>
    </row>
    <row r="285" spans="1:7" x14ac:dyDescent="0.3">
      <c r="A285" s="2">
        <v>1284</v>
      </c>
      <c r="B285" s="3">
        <v>45003</v>
      </c>
      <c r="C285" s="2" t="s">
        <v>13</v>
      </c>
      <c r="D285" s="2" t="s">
        <v>17</v>
      </c>
      <c r="E285" s="2" t="s">
        <v>25</v>
      </c>
      <c r="F285" s="2">
        <v>46750</v>
      </c>
      <c r="G285" s="2">
        <v>30329</v>
      </c>
    </row>
    <row r="286" spans="1:7" x14ac:dyDescent="0.3">
      <c r="A286" s="2">
        <v>1285</v>
      </c>
      <c r="B286" s="3">
        <v>45305</v>
      </c>
      <c r="C286" s="2" t="s">
        <v>7</v>
      </c>
      <c r="D286" s="2" t="s">
        <v>20</v>
      </c>
      <c r="E286" s="2" t="s">
        <v>23</v>
      </c>
      <c r="F286" s="2">
        <v>71809</v>
      </c>
      <c r="G286" s="2">
        <v>54553</v>
      </c>
    </row>
    <row r="287" spans="1:7" x14ac:dyDescent="0.3">
      <c r="A287" s="2">
        <v>1286</v>
      </c>
      <c r="B287" s="3">
        <v>45080</v>
      </c>
      <c r="C287" s="2" t="s">
        <v>14</v>
      </c>
      <c r="D287" s="2" t="s">
        <v>19</v>
      </c>
      <c r="E287" s="2" t="s">
        <v>25</v>
      </c>
      <c r="F287" s="2">
        <v>48416</v>
      </c>
      <c r="G287" s="2">
        <v>38836</v>
      </c>
    </row>
    <row r="288" spans="1:7" x14ac:dyDescent="0.3">
      <c r="A288" s="2">
        <v>1287</v>
      </c>
      <c r="B288" s="3">
        <v>45225</v>
      </c>
      <c r="C288" s="2" t="s">
        <v>7</v>
      </c>
      <c r="D288" s="2" t="s">
        <v>19</v>
      </c>
      <c r="E288" s="2" t="s">
        <v>23</v>
      </c>
      <c r="F288" s="2">
        <v>67205</v>
      </c>
      <c r="G288" s="2">
        <v>45676</v>
      </c>
    </row>
    <row r="289" spans="1:7" x14ac:dyDescent="0.3">
      <c r="A289" s="2">
        <v>1288</v>
      </c>
      <c r="B289" s="3">
        <v>45324</v>
      </c>
      <c r="C289" s="2" t="s">
        <v>13</v>
      </c>
      <c r="D289" s="2" t="s">
        <v>17</v>
      </c>
      <c r="E289" s="2" t="s">
        <v>22</v>
      </c>
      <c r="F289" s="2">
        <v>67973</v>
      </c>
      <c r="G289" s="2">
        <v>44260</v>
      </c>
    </row>
    <row r="290" spans="1:7" x14ac:dyDescent="0.3">
      <c r="A290" s="2">
        <v>1289</v>
      </c>
      <c r="B290" s="3">
        <v>45244</v>
      </c>
      <c r="C290" s="2" t="s">
        <v>16</v>
      </c>
      <c r="D290" s="2" t="s">
        <v>17</v>
      </c>
      <c r="E290" s="2" t="s">
        <v>21</v>
      </c>
      <c r="F290" s="2">
        <v>9138</v>
      </c>
      <c r="G290" s="2">
        <v>7052</v>
      </c>
    </row>
    <row r="291" spans="1:7" x14ac:dyDescent="0.3">
      <c r="A291" s="2">
        <v>1290</v>
      </c>
      <c r="B291" s="3">
        <v>45024</v>
      </c>
      <c r="C291" s="2" t="s">
        <v>9</v>
      </c>
      <c r="D291" s="2" t="s">
        <v>18</v>
      </c>
      <c r="E291" s="2" t="s">
        <v>25</v>
      </c>
      <c r="F291" s="2">
        <v>59890</v>
      </c>
      <c r="G291" s="2">
        <v>38654</v>
      </c>
    </row>
    <row r="292" spans="1:7" x14ac:dyDescent="0.3">
      <c r="A292" s="2">
        <v>1291</v>
      </c>
      <c r="B292" s="3">
        <v>45137</v>
      </c>
      <c r="C292" s="2" t="s">
        <v>11</v>
      </c>
      <c r="D292" s="2" t="s">
        <v>18</v>
      </c>
      <c r="E292" s="2" t="s">
        <v>22</v>
      </c>
      <c r="F292" s="2">
        <v>23098</v>
      </c>
      <c r="G292" s="2">
        <v>17452</v>
      </c>
    </row>
    <row r="293" spans="1:7" x14ac:dyDescent="0.3">
      <c r="A293" s="2">
        <v>1292</v>
      </c>
      <c r="B293" s="3">
        <v>45266</v>
      </c>
      <c r="C293" s="2" t="s">
        <v>14</v>
      </c>
      <c r="D293" s="2" t="s">
        <v>18</v>
      </c>
      <c r="E293" s="2" t="s">
        <v>25</v>
      </c>
      <c r="F293" s="2">
        <v>27699</v>
      </c>
      <c r="G293" s="2">
        <v>20439</v>
      </c>
    </row>
    <row r="294" spans="1:7" x14ac:dyDescent="0.3">
      <c r="A294" s="2">
        <v>1293</v>
      </c>
      <c r="B294" s="3">
        <v>45206</v>
      </c>
      <c r="C294" s="2" t="s">
        <v>10</v>
      </c>
      <c r="D294" s="2" t="s">
        <v>20</v>
      </c>
      <c r="E294" s="2" t="s">
        <v>23</v>
      </c>
      <c r="F294" s="2">
        <v>68462</v>
      </c>
      <c r="G294" s="2">
        <v>45026</v>
      </c>
    </row>
    <row r="295" spans="1:7" x14ac:dyDescent="0.3">
      <c r="A295" s="2">
        <v>1294</v>
      </c>
      <c r="B295" s="3">
        <v>45212</v>
      </c>
      <c r="C295" s="2" t="s">
        <v>7</v>
      </c>
      <c r="D295" s="2" t="s">
        <v>17</v>
      </c>
      <c r="E295" s="2" t="s">
        <v>25</v>
      </c>
      <c r="F295" s="2">
        <v>42880</v>
      </c>
      <c r="G295" s="2">
        <v>34795</v>
      </c>
    </row>
    <row r="296" spans="1:7" x14ac:dyDescent="0.3">
      <c r="A296" s="2">
        <v>1295</v>
      </c>
      <c r="B296" s="3">
        <v>45177</v>
      </c>
      <c r="C296" s="2" t="s">
        <v>10</v>
      </c>
      <c r="D296" s="2" t="s">
        <v>18</v>
      </c>
      <c r="E296" s="2" t="s">
        <v>25</v>
      </c>
      <c r="F296" s="2">
        <v>78464</v>
      </c>
      <c r="G296" s="2">
        <v>69056</v>
      </c>
    </row>
    <row r="297" spans="1:7" x14ac:dyDescent="0.3">
      <c r="A297" s="2">
        <v>1296</v>
      </c>
      <c r="B297" s="3">
        <v>45067</v>
      </c>
      <c r="C297" s="2" t="s">
        <v>7</v>
      </c>
      <c r="D297" s="2" t="s">
        <v>19</v>
      </c>
      <c r="E297" s="2" t="s">
        <v>23</v>
      </c>
      <c r="F297" s="2">
        <v>76197</v>
      </c>
      <c r="G297" s="2">
        <v>54397</v>
      </c>
    </row>
    <row r="298" spans="1:7" x14ac:dyDescent="0.3">
      <c r="A298" s="2">
        <v>1297</v>
      </c>
      <c r="B298" s="3">
        <v>45346</v>
      </c>
      <c r="C298" s="2" t="s">
        <v>10</v>
      </c>
      <c r="D298" s="2" t="s">
        <v>17</v>
      </c>
      <c r="E298" s="2" t="s">
        <v>25</v>
      </c>
      <c r="F298" s="2">
        <v>10513</v>
      </c>
      <c r="G298" s="2">
        <v>7214</v>
      </c>
    </row>
    <row r="299" spans="1:7" x14ac:dyDescent="0.3">
      <c r="A299" s="2">
        <v>1298</v>
      </c>
      <c r="B299" s="3">
        <v>45104</v>
      </c>
      <c r="C299" s="2" t="s">
        <v>14</v>
      </c>
      <c r="D299" s="2" t="s">
        <v>20</v>
      </c>
      <c r="E299" s="2" t="s">
        <v>24</v>
      </c>
      <c r="F299" s="2">
        <v>33047</v>
      </c>
      <c r="G299" s="2">
        <v>21831</v>
      </c>
    </row>
    <row r="300" spans="1:7" x14ac:dyDescent="0.3">
      <c r="A300" s="2">
        <v>1299</v>
      </c>
      <c r="B300" s="3">
        <v>45214</v>
      </c>
      <c r="C300" s="2" t="s">
        <v>7</v>
      </c>
      <c r="D300" s="2" t="s">
        <v>17</v>
      </c>
      <c r="E300" s="2" t="s">
        <v>22</v>
      </c>
      <c r="F300" s="2">
        <v>36363</v>
      </c>
      <c r="G300" s="2">
        <v>24462</v>
      </c>
    </row>
    <row r="301" spans="1:7" x14ac:dyDescent="0.3">
      <c r="A301" s="2">
        <v>1300</v>
      </c>
      <c r="B301" s="3">
        <v>45198</v>
      </c>
      <c r="C301" s="2" t="s">
        <v>12</v>
      </c>
      <c r="D301" s="2" t="s">
        <v>17</v>
      </c>
      <c r="E301" s="2" t="s">
        <v>22</v>
      </c>
      <c r="F301" s="2">
        <v>18133</v>
      </c>
      <c r="G301" s="2">
        <v>13128</v>
      </c>
    </row>
    <row r="302" spans="1:7" x14ac:dyDescent="0.3">
      <c r="A302" s="2">
        <v>1301</v>
      </c>
      <c r="B302" s="3">
        <v>44978</v>
      </c>
      <c r="C302" s="2" t="s">
        <v>15</v>
      </c>
      <c r="D302" s="2" t="s">
        <v>19</v>
      </c>
      <c r="E302" s="2" t="s">
        <v>23</v>
      </c>
      <c r="F302" s="2">
        <v>25701</v>
      </c>
      <c r="G302" s="2">
        <v>18557</v>
      </c>
    </row>
    <row r="303" spans="1:7" x14ac:dyDescent="0.3">
      <c r="A303" s="2">
        <v>1302</v>
      </c>
      <c r="B303" s="3">
        <v>45376</v>
      </c>
      <c r="C303" s="2" t="s">
        <v>14</v>
      </c>
      <c r="D303" s="2" t="s">
        <v>18</v>
      </c>
      <c r="E303" s="2" t="s">
        <v>21</v>
      </c>
      <c r="F303" s="2">
        <v>42649</v>
      </c>
      <c r="G303" s="2">
        <v>29698</v>
      </c>
    </row>
    <row r="304" spans="1:7" x14ac:dyDescent="0.3">
      <c r="A304" s="2">
        <v>1303</v>
      </c>
      <c r="B304" s="3">
        <v>45320</v>
      </c>
      <c r="C304" s="2" t="s">
        <v>8</v>
      </c>
      <c r="D304" s="2" t="s">
        <v>17</v>
      </c>
      <c r="E304" s="2" t="s">
        <v>23</v>
      </c>
      <c r="F304" s="2">
        <v>9888</v>
      </c>
      <c r="G304" s="2">
        <v>8641</v>
      </c>
    </row>
    <row r="305" spans="1:7" x14ac:dyDescent="0.3">
      <c r="A305" s="2">
        <v>1304</v>
      </c>
      <c r="B305" s="3">
        <v>45355</v>
      </c>
      <c r="C305" s="2" t="s">
        <v>15</v>
      </c>
      <c r="D305" s="2" t="s">
        <v>19</v>
      </c>
      <c r="E305" s="2" t="s">
        <v>24</v>
      </c>
      <c r="F305" s="2">
        <v>69930</v>
      </c>
      <c r="G305" s="2">
        <v>45866</v>
      </c>
    </row>
    <row r="306" spans="1:7" x14ac:dyDescent="0.3">
      <c r="A306" s="2">
        <v>1305</v>
      </c>
      <c r="B306" s="3">
        <v>45373</v>
      </c>
      <c r="C306" s="2" t="s">
        <v>7</v>
      </c>
      <c r="D306" s="2" t="s">
        <v>19</v>
      </c>
      <c r="E306" s="2" t="s">
        <v>22</v>
      </c>
      <c r="F306" s="2">
        <v>44110</v>
      </c>
      <c r="G306" s="2">
        <v>33981</v>
      </c>
    </row>
    <row r="307" spans="1:7" x14ac:dyDescent="0.3">
      <c r="A307" s="2">
        <v>1306</v>
      </c>
      <c r="B307" s="3">
        <v>45098</v>
      </c>
      <c r="C307" s="2" t="s">
        <v>7</v>
      </c>
      <c r="D307" s="2" t="s">
        <v>18</v>
      </c>
      <c r="E307" s="2" t="s">
        <v>23</v>
      </c>
      <c r="F307" s="2">
        <v>73723</v>
      </c>
      <c r="G307" s="2">
        <v>55157</v>
      </c>
    </row>
    <row r="308" spans="1:7" x14ac:dyDescent="0.3">
      <c r="A308" s="2">
        <v>1307</v>
      </c>
      <c r="B308" s="3">
        <v>45362</v>
      </c>
      <c r="C308" s="2" t="s">
        <v>11</v>
      </c>
      <c r="D308" s="2" t="s">
        <v>18</v>
      </c>
      <c r="E308" s="2" t="s">
        <v>25</v>
      </c>
      <c r="F308" s="2">
        <v>30272</v>
      </c>
      <c r="G308" s="2">
        <v>25508</v>
      </c>
    </row>
    <row r="309" spans="1:7" x14ac:dyDescent="0.3">
      <c r="A309" s="2">
        <v>1308</v>
      </c>
      <c r="B309" s="3">
        <v>45301</v>
      </c>
      <c r="C309" s="2" t="s">
        <v>14</v>
      </c>
      <c r="D309" s="2" t="s">
        <v>20</v>
      </c>
      <c r="E309" s="2" t="s">
        <v>21</v>
      </c>
      <c r="F309" s="2">
        <v>6846</v>
      </c>
      <c r="G309" s="2">
        <v>5620</v>
      </c>
    </row>
    <row r="310" spans="1:7" x14ac:dyDescent="0.3">
      <c r="A310" s="2">
        <v>1309</v>
      </c>
      <c r="B310" s="3">
        <v>45217</v>
      </c>
      <c r="C310" s="2" t="s">
        <v>12</v>
      </c>
      <c r="D310" s="2" t="s">
        <v>17</v>
      </c>
      <c r="E310" s="2" t="s">
        <v>23</v>
      </c>
      <c r="F310" s="2">
        <v>58148</v>
      </c>
      <c r="G310" s="2">
        <v>49315</v>
      </c>
    </row>
    <row r="311" spans="1:7" x14ac:dyDescent="0.3">
      <c r="A311" s="2">
        <v>1310</v>
      </c>
      <c r="B311" s="3">
        <v>44971</v>
      </c>
      <c r="C311" s="2" t="s">
        <v>16</v>
      </c>
      <c r="D311" s="2" t="s">
        <v>19</v>
      </c>
      <c r="E311" s="2" t="s">
        <v>21</v>
      </c>
      <c r="F311" s="2">
        <v>23430</v>
      </c>
      <c r="G311" s="2">
        <v>17414</v>
      </c>
    </row>
    <row r="312" spans="1:7" x14ac:dyDescent="0.3">
      <c r="A312" s="2">
        <v>1311</v>
      </c>
      <c r="B312" s="3">
        <v>44930</v>
      </c>
      <c r="C312" s="2" t="s">
        <v>7</v>
      </c>
      <c r="D312" s="2" t="s">
        <v>18</v>
      </c>
      <c r="E312" s="2" t="s">
        <v>21</v>
      </c>
      <c r="F312" s="2">
        <v>63554</v>
      </c>
      <c r="G312" s="2">
        <v>52503</v>
      </c>
    </row>
    <row r="313" spans="1:7" x14ac:dyDescent="0.3">
      <c r="A313" s="2">
        <v>1312</v>
      </c>
      <c r="B313" s="3">
        <v>45081</v>
      </c>
      <c r="C313" s="2" t="s">
        <v>13</v>
      </c>
      <c r="D313" s="2" t="s">
        <v>19</v>
      </c>
      <c r="E313" s="2" t="s">
        <v>25</v>
      </c>
      <c r="F313" s="2">
        <v>52127</v>
      </c>
      <c r="G313" s="2">
        <v>42109</v>
      </c>
    </row>
    <row r="314" spans="1:7" x14ac:dyDescent="0.3">
      <c r="A314" s="2">
        <v>1313</v>
      </c>
      <c r="B314" s="3">
        <v>44987</v>
      </c>
      <c r="C314" s="2" t="s">
        <v>14</v>
      </c>
      <c r="D314" s="2" t="s">
        <v>20</v>
      </c>
      <c r="E314" s="2" t="s">
        <v>21</v>
      </c>
      <c r="F314" s="2">
        <v>58138</v>
      </c>
      <c r="G314" s="2">
        <v>46848</v>
      </c>
    </row>
    <row r="315" spans="1:7" x14ac:dyDescent="0.3">
      <c r="A315" s="2">
        <v>1314</v>
      </c>
      <c r="B315" s="3">
        <v>45287</v>
      </c>
      <c r="C315" s="2" t="s">
        <v>7</v>
      </c>
      <c r="D315" s="2" t="s">
        <v>19</v>
      </c>
      <c r="E315" s="2" t="s">
        <v>25</v>
      </c>
      <c r="F315" s="2">
        <v>53174</v>
      </c>
      <c r="G315" s="2">
        <v>41709</v>
      </c>
    </row>
    <row r="316" spans="1:7" x14ac:dyDescent="0.3">
      <c r="A316" s="2">
        <v>1315</v>
      </c>
      <c r="B316" s="3">
        <v>44995</v>
      </c>
      <c r="C316" s="2" t="s">
        <v>14</v>
      </c>
      <c r="D316" s="2" t="s">
        <v>17</v>
      </c>
      <c r="E316" s="2" t="s">
        <v>24</v>
      </c>
      <c r="F316" s="2">
        <v>53971</v>
      </c>
      <c r="G316" s="2">
        <v>39115</v>
      </c>
    </row>
    <row r="317" spans="1:7" x14ac:dyDescent="0.3">
      <c r="A317" s="2">
        <v>1316</v>
      </c>
      <c r="B317" s="3">
        <v>45168</v>
      </c>
      <c r="C317" s="2" t="s">
        <v>11</v>
      </c>
      <c r="D317" s="2" t="s">
        <v>17</v>
      </c>
      <c r="E317" s="2" t="s">
        <v>21</v>
      </c>
      <c r="F317" s="2">
        <v>15730</v>
      </c>
      <c r="G317" s="2">
        <v>11917</v>
      </c>
    </row>
    <row r="318" spans="1:7" x14ac:dyDescent="0.3">
      <c r="A318" s="2">
        <v>1317</v>
      </c>
      <c r="B318" s="3">
        <v>45112</v>
      </c>
      <c r="C318" s="2" t="s">
        <v>8</v>
      </c>
      <c r="D318" s="2" t="s">
        <v>19</v>
      </c>
      <c r="E318" s="2" t="s">
        <v>22</v>
      </c>
      <c r="F318" s="2">
        <v>76781</v>
      </c>
      <c r="G318" s="2">
        <v>66865</v>
      </c>
    </row>
    <row r="319" spans="1:7" x14ac:dyDescent="0.3">
      <c r="A319" s="2">
        <v>1318</v>
      </c>
      <c r="B319" s="3">
        <v>45201</v>
      </c>
      <c r="C319" s="2" t="s">
        <v>15</v>
      </c>
      <c r="D319" s="2" t="s">
        <v>17</v>
      </c>
      <c r="E319" s="2" t="s">
        <v>25</v>
      </c>
      <c r="F319" s="2">
        <v>73202</v>
      </c>
      <c r="G319" s="2">
        <v>53624</v>
      </c>
    </row>
    <row r="320" spans="1:7" x14ac:dyDescent="0.3">
      <c r="A320" s="2">
        <v>1319</v>
      </c>
      <c r="B320" s="3">
        <v>45294</v>
      </c>
      <c r="C320" s="2" t="s">
        <v>13</v>
      </c>
      <c r="D320" s="2" t="s">
        <v>18</v>
      </c>
      <c r="E320" s="2" t="s">
        <v>22</v>
      </c>
      <c r="F320" s="2">
        <v>71895</v>
      </c>
      <c r="G320" s="2">
        <v>52745</v>
      </c>
    </row>
    <row r="321" spans="1:7" x14ac:dyDescent="0.3">
      <c r="A321" s="2">
        <v>1320</v>
      </c>
      <c r="B321" s="3">
        <v>44994</v>
      </c>
      <c r="C321" s="2" t="s">
        <v>11</v>
      </c>
      <c r="D321" s="2" t="s">
        <v>18</v>
      </c>
      <c r="E321" s="2" t="s">
        <v>24</v>
      </c>
      <c r="F321" s="2">
        <v>78912</v>
      </c>
      <c r="G321" s="2">
        <v>48714</v>
      </c>
    </row>
    <row r="322" spans="1:7" x14ac:dyDescent="0.3">
      <c r="A322" s="2">
        <v>1321</v>
      </c>
      <c r="B322" s="3">
        <v>45340</v>
      </c>
      <c r="C322" s="2" t="s">
        <v>7</v>
      </c>
      <c r="D322" s="2" t="s">
        <v>19</v>
      </c>
      <c r="E322" s="2" t="s">
        <v>24</v>
      </c>
      <c r="F322" s="2">
        <v>38352</v>
      </c>
      <c r="G322" s="2">
        <v>32404</v>
      </c>
    </row>
    <row r="323" spans="1:7" x14ac:dyDescent="0.3">
      <c r="A323" s="2">
        <v>1322</v>
      </c>
      <c r="B323" s="3">
        <v>45223</v>
      </c>
      <c r="C323" s="2" t="s">
        <v>8</v>
      </c>
      <c r="D323" s="2" t="s">
        <v>19</v>
      </c>
      <c r="E323" s="2" t="s">
        <v>24</v>
      </c>
      <c r="F323" s="2">
        <v>50158</v>
      </c>
      <c r="G323" s="2">
        <v>40633</v>
      </c>
    </row>
    <row r="324" spans="1:7" x14ac:dyDescent="0.3">
      <c r="A324" s="2">
        <v>1323</v>
      </c>
      <c r="B324" s="3">
        <v>44957</v>
      </c>
      <c r="C324" s="2" t="s">
        <v>8</v>
      </c>
      <c r="D324" s="2" t="s">
        <v>18</v>
      </c>
      <c r="E324" s="2" t="s">
        <v>22</v>
      </c>
      <c r="F324" s="2">
        <v>42629</v>
      </c>
      <c r="G324" s="2">
        <v>30806</v>
      </c>
    </row>
    <row r="325" spans="1:7" x14ac:dyDescent="0.3">
      <c r="A325" s="2">
        <v>1324</v>
      </c>
      <c r="B325" s="3">
        <v>45319</v>
      </c>
      <c r="C325" s="2" t="s">
        <v>16</v>
      </c>
      <c r="D325" s="2" t="s">
        <v>20</v>
      </c>
      <c r="E325" s="2" t="s">
        <v>24</v>
      </c>
      <c r="F325" s="2">
        <v>63790</v>
      </c>
      <c r="G325" s="2">
        <v>54915</v>
      </c>
    </row>
    <row r="326" spans="1:7" x14ac:dyDescent="0.3">
      <c r="A326" s="2">
        <v>1325</v>
      </c>
      <c r="B326" s="3">
        <v>45119</v>
      </c>
      <c r="C326" s="2" t="s">
        <v>8</v>
      </c>
      <c r="D326" s="2" t="s">
        <v>17</v>
      </c>
      <c r="E326" s="2" t="s">
        <v>25</v>
      </c>
      <c r="F326" s="2">
        <v>20549</v>
      </c>
      <c r="G326" s="2">
        <v>13429</v>
      </c>
    </row>
    <row r="327" spans="1:7" x14ac:dyDescent="0.3">
      <c r="A327" s="2">
        <v>1326</v>
      </c>
      <c r="B327" s="3">
        <v>45197</v>
      </c>
      <c r="C327" s="2" t="s">
        <v>15</v>
      </c>
      <c r="D327" s="2" t="s">
        <v>17</v>
      </c>
      <c r="E327" s="2" t="s">
        <v>22</v>
      </c>
      <c r="F327" s="2">
        <v>7979</v>
      </c>
      <c r="G327" s="2">
        <v>7129</v>
      </c>
    </row>
    <row r="328" spans="1:7" x14ac:dyDescent="0.3">
      <c r="A328" s="2">
        <v>1327</v>
      </c>
      <c r="B328" s="3">
        <v>45295</v>
      </c>
      <c r="C328" s="2" t="s">
        <v>11</v>
      </c>
      <c r="D328" s="2" t="s">
        <v>18</v>
      </c>
      <c r="E328" s="2" t="s">
        <v>23</v>
      </c>
      <c r="F328" s="2">
        <v>54712</v>
      </c>
      <c r="G328" s="2">
        <v>46341</v>
      </c>
    </row>
    <row r="329" spans="1:7" x14ac:dyDescent="0.3">
      <c r="A329" s="2">
        <v>1328</v>
      </c>
      <c r="B329" s="3">
        <v>45104</v>
      </c>
      <c r="C329" s="2" t="s">
        <v>15</v>
      </c>
      <c r="D329" s="2" t="s">
        <v>20</v>
      </c>
      <c r="E329" s="2" t="s">
        <v>21</v>
      </c>
      <c r="F329" s="2">
        <v>19790</v>
      </c>
      <c r="G329" s="2">
        <v>12065</v>
      </c>
    </row>
    <row r="330" spans="1:7" x14ac:dyDescent="0.3">
      <c r="A330" s="2">
        <v>1329</v>
      </c>
      <c r="B330" s="3">
        <v>45241</v>
      </c>
      <c r="C330" s="2" t="s">
        <v>9</v>
      </c>
      <c r="D330" s="2" t="s">
        <v>17</v>
      </c>
      <c r="E330" s="2" t="s">
        <v>21</v>
      </c>
      <c r="F330" s="2">
        <v>13819</v>
      </c>
      <c r="G330" s="2">
        <v>8709</v>
      </c>
    </row>
    <row r="331" spans="1:7" x14ac:dyDescent="0.3">
      <c r="A331" s="2">
        <v>1330</v>
      </c>
      <c r="B331" s="3"/>
      <c r="C331" s="2" t="s">
        <v>13</v>
      </c>
      <c r="D331" s="2" t="s">
        <v>19</v>
      </c>
      <c r="E331" s="2" t="s">
        <v>21</v>
      </c>
      <c r="F331" s="2">
        <v>10798</v>
      </c>
      <c r="G331" s="2">
        <v>7781</v>
      </c>
    </row>
    <row r="332" spans="1:7" x14ac:dyDescent="0.3">
      <c r="A332" s="2">
        <v>1331</v>
      </c>
      <c r="B332" s="3">
        <v>45038</v>
      </c>
      <c r="C332" s="2" t="s">
        <v>9</v>
      </c>
      <c r="D332" s="2" t="s">
        <v>17</v>
      </c>
      <c r="E332" s="2" t="s">
        <v>23</v>
      </c>
      <c r="F332" s="2">
        <v>42914</v>
      </c>
      <c r="G332" s="2">
        <v>28763</v>
      </c>
    </row>
    <row r="333" spans="1:7" x14ac:dyDescent="0.3">
      <c r="A333" s="2">
        <v>1332</v>
      </c>
      <c r="B333" s="3">
        <v>45221</v>
      </c>
      <c r="C333" s="2" t="s">
        <v>10</v>
      </c>
      <c r="D333" s="2" t="s">
        <v>20</v>
      </c>
      <c r="E333" s="2" t="s">
        <v>21</v>
      </c>
      <c r="F333" s="2">
        <v>44552</v>
      </c>
      <c r="G333" s="2">
        <v>38442</v>
      </c>
    </row>
    <row r="334" spans="1:7" x14ac:dyDescent="0.3">
      <c r="A334" s="2">
        <v>1333</v>
      </c>
      <c r="B334" s="3">
        <v>45193</v>
      </c>
      <c r="C334" s="2" t="s">
        <v>12</v>
      </c>
      <c r="D334" s="2" t="s">
        <v>18</v>
      </c>
      <c r="E334" s="2" t="s">
        <v>25</v>
      </c>
      <c r="F334" s="2">
        <v>41064</v>
      </c>
      <c r="G334" s="2">
        <v>25389</v>
      </c>
    </row>
    <row r="335" spans="1:7" x14ac:dyDescent="0.3">
      <c r="A335" s="2">
        <v>1334</v>
      </c>
      <c r="B335" s="3">
        <v>45377</v>
      </c>
      <c r="C335" s="2" t="s">
        <v>15</v>
      </c>
      <c r="D335" s="2" t="s">
        <v>18</v>
      </c>
      <c r="E335" s="2" t="s">
        <v>23</v>
      </c>
      <c r="F335" s="2">
        <v>69962</v>
      </c>
      <c r="G335" s="2">
        <v>42961</v>
      </c>
    </row>
    <row r="336" spans="1:7" x14ac:dyDescent="0.3">
      <c r="A336" s="2">
        <v>1335</v>
      </c>
      <c r="B336" s="3">
        <v>45256</v>
      </c>
      <c r="C336" s="2" t="s">
        <v>16</v>
      </c>
      <c r="D336" s="2" t="s">
        <v>20</v>
      </c>
      <c r="E336" s="2" t="s">
        <v>24</v>
      </c>
      <c r="F336" s="2">
        <v>58511</v>
      </c>
      <c r="G336" s="2">
        <v>37725</v>
      </c>
    </row>
    <row r="337" spans="1:7" x14ac:dyDescent="0.3">
      <c r="A337" s="2">
        <v>1336</v>
      </c>
      <c r="B337" s="3">
        <v>45313</v>
      </c>
      <c r="C337" s="2" t="s">
        <v>11</v>
      </c>
      <c r="D337" s="2" t="s">
        <v>18</v>
      </c>
      <c r="E337" s="2" t="s">
        <v>21</v>
      </c>
      <c r="F337" s="2">
        <v>34536</v>
      </c>
      <c r="G337" s="2">
        <v>23837</v>
      </c>
    </row>
    <row r="338" spans="1:7" x14ac:dyDescent="0.3">
      <c r="A338" s="2">
        <v>1337</v>
      </c>
      <c r="B338" s="3">
        <v>45339</v>
      </c>
      <c r="C338" s="2" t="s">
        <v>14</v>
      </c>
      <c r="D338" s="2" t="s">
        <v>19</v>
      </c>
      <c r="E338" s="2" t="s">
        <v>23</v>
      </c>
      <c r="F338" s="2">
        <v>59090</v>
      </c>
      <c r="G338" s="2">
        <v>52609</v>
      </c>
    </row>
    <row r="339" spans="1:7" x14ac:dyDescent="0.3">
      <c r="A339" s="2">
        <v>1338</v>
      </c>
      <c r="B339" s="3">
        <v>44995</v>
      </c>
      <c r="C339" s="2" t="s">
        <v>16</v>
      </c>
      <c r="D339" s="2" t="s">
        <v>17</v>
      </c>
      <c r="E339" s="2" t="s">
        <v>25</v>
      </c>
      <c r="F339" s="2">
        <v>31651</v>
      </c>
      <c r="G339" s="2">
        <v>22126</v>
      </c>
    </row>
    <row r="340" spans="1:7" x14ac:dyDescent="0.3">
      <c r="A340" s="2">
        <v>1339</v>
      </c>
      <c r="B340" s="3">
        <v>45157</v>
      </c>
      <c r="C340" s="2" t="s">
        <v>10</v>
      </c>
      <c r="D340" s="2" t="s">
        <v>19</v>
      </c>
      <c r="E340" s="2" t="s">
        <v>23</v>
      </c>
      <c r="F340" s="2">
        <v>29966</v>
      </c>
      <c r="G340" s="2">
        <v>18442</v>
      </c>
    </row>
    <row r="341" spans="1:7" x14ac:dyDescent="0.3">
      <c r="A341" s="2">
        <v>1340</v>
      </c>
      <c r="B341" s="3">
        <v>45236</v>
      </c>
      <c r="C341" s="2" t="s">
        <v>13</v>
      </c>
      <c r="D341" s="2" t="s">
        <v>19</v>
      </c>
      <c r="E341" s="2" t="s">
        <v>22</v>
      </c>
      <c r="F341" s="2">
        <v>29662</v>
      </c>
      <c r="G341" s="2">
        <v>24957</v>
      </c>
    </row>
    <row r="342" spans="1:7" x14ac:dyDescent="0.3">
      <c r="A342" s="2">
        <v>1341</v>
      </c>
      <c r="B342" s="3">
        <v>45270</v>
      </c>
      <c r="C342" s="2" t="s">
        <v>11</v>
      </c>
      <c r="D342" s="2" t="s">
        <v>17</v>
      </c>
      <c r="E342" s="2" t="s">
        <v>24</v>
      </c>
      <c r="F342" s="2">
        <v>32379</v>
      </c>
      <c r="G342" s="2">
        <v>27873</v>
      </c>
    </row>
    <row r="343" spans="1:7" x14ac:dyDescent="0.3">
      <c r="A343" s="2">
        <v>1342</v>
      </c>
      <c r="B343" s="3">
        <v>44934</v>
      </c>
      <c r="C343" s="2" t="s">
        <v>12</v>
      </c>
      <c r="D343" s="2" t="s">
        <v>17</v>
      </c>
      <c r="E343" s="2" t="s">
        <v>22</v>
      </c>
      <c r="F343" s="2">
        <v>67773</v>
      </c>
      <c r="G343" s="2">
        <v>59256</v>
      </c>
    </row>
    <row r="344" spans="1:7" x14ac:dyDescent="0.3">
      <c r="A344" s="2">
        <v>1343</v>
      </c>
      <c r="B344" s="3">
        <v>45287</v>
      </c>
      <c r="C344" s="2" t="s">
        <v>12</v>
      </c>
      <c r="D344" s="2" t="s">
        <v>18</v>
      </c>
      <c r="E344" s="2" t="s">
        <v>21</v>
      </c>
      <c r="F344" s="2">
        <v>77362</v>
      </c>
      <c r="G344" s="2">
        <v>53881</v>
      </c>
    </row>
    <row r="345" spans="1:7" x14ac:dyDescent="0.3">
      <c r="A345" s="2">
        <v>1344</v>
      </c>
      <c r="B345" s="3">
        <v>45165</v>
      </c>
      <c r="C345" s="2" t="s">
        <v>11</v>
      </c>
      <c r="D345" s="2" t="s">
        <v>20</v>
      </c>
      <c r="E345" s="2" t="s">
        <v>25</v>
      </c>
      <c r="F345" s="2">
        <v>39283</v>
      </c>
      <c r="G345" s="2">
        <v>27808</v>
      </c>
    </row>
    <row r="346" spans="1:7" x14ac:dyDescent="0.3">
      <c r="A346" s="2">
        <v>1345</v>
      </c>
      <c r="B346" s="3">
        <v>45165</v>
      </c>
      <c r="C346" s="2" t="s">
        <v>8</v>
      </c>
      <c r="D346" s="2" t="s">
        <v>18</v>
      </c>
      <c r="E346" s="2" t="s">
        <v>25</v>
      </c>
      <c r="F346" s="2">
        <v>31624</v>
      </c>
      <c r="G346" s="2">
        <v>22491</v>
      </c>
    </row>
    <row r="347" spans="1:7" x14ac:dyDescent="0.3">
      <c r="A347" s="2">
        <v>1346</v>
      </c>
      <c r="B347" s="3">
        <v>45215</v>
      </c>
      <c r="C347" s="2" t="s">
        <v>12</v>
      </c>
      <c r="D347" s="2" t="s">
        <v>17</v>
      </c>
      <c r="E347" s="2" t="s">
        <v>22</v>
      </c>
      <c r="F347" s="2">
        <v>39180</v>
      </c>
      <c r="G347" s="2">
        <v>30011</v>
      </c>
    </row>
    <row r="348" spans="1:7" x14ac:dyDescent="0.3">
      <c r="A348" s="2">
        <v>1347</v>
      </c>
      <c r="B348" s="3">
        <v>45295</v>
      </c>
      <c r="C348" s="2" t="s">
        <v>16</v>
      </c>
      <c r="D348" s="2" t="s">
        <v>20</v>
      </c>
      <c r="E348" s="2" t="s">
        <v>21</v>
      </c>
      <c r="F348" s="2">
        <v>30715</v>
      </c>
      <c r="G348" s="2">
        <v>21468</v>
      </c>
    </row>
    <row r="349" spans="1:7" x14ac:dyDescent="0.3">
      <c r="A349" s="2">
        <v>1348</v>
      </c>
      <c r="B349" s="3">
        <v>45353</v>
      </c>
      <c r="C349" s="2" t="s">
        <v>12</v>
      </c>
      <c r="D349" s="2" t="s">
        <v>18</v>
      </c>
      <c r="E349" s="2" t="s">
        <v>23</v>
      </c>
      <c r="F349" s="2">
        <v>49245</v>
      </c>
      <c r="G349" s="2">
        <v>33348</v>
      </c>
    </row>
    <row r="350" spans="1:7" x14ac:dyDescent="0.3">
      <c r="A350" s="2">
        <v>1349</v>
      </c>
      <c r="B350" s="3">
        <v>45297</v>
      </c>
      <c r="C350" s="2" t="s">
        <v>14</v>
      </c>
      <c r="D350" s="2" t="s">
        <v>18</v>
      </c>
      <c r="E350" s="2" t="s">
        <v>21</v>
      </c>
      <c r="F350" s="2">
        <v>51160</v>
      </c>
      <c r="G350" s="2">
        <v>33293</v>
      </c>
    </row>
    <row r="351" spans="1:7" x14ac:dyDescent="0.3">
      <c r="A351" s="2">
        <v>1350</v>
      </c>
      <c r="B351" s="3">
        <v>45177</v>
      </c>
      <c r="C351" s="2" t="s">
        <v>15</v>
      </c>
      <c r="D351" s="2" t="s">
        <v>19</v>
      </c>
      <c r="E351" s="2" t="s">
        <v>23</v>
      </c>
      <c r="F351" s="2">
        <v>9433</v>
      </c>
      <c r="G351" s="2">
        <v>8034</v>
      </c>
    </row>
    <row r="352" spans="1:7" x14ac:dyDescent="0.3">
      <c r="A352" s="2">
        <v>1351</v>
      </c>
      <c r="B352" s="3">
        <v>45345</v>
      </c>
      <c r="C352" s="2" t="s">
        <v>9</v>
      </c>
      <c r="D352" s="2" t="s">
        <v>19</v>
      </c>
      <c r="E352" s="2" t="s">
        <v>24</v>
      </c>
      <c r="F352" s="2">
        <v>23021</v>
      </c>
      <c r="G352" s="2">
        <v>19631</v>
      </c>
    </row>
    <row r="353" spans="1:7" x14ac:dyDescent="0.3">
      <c r="A353" s="2">
        <v>1352</v>
      </c>
      <c r="B353" s="3">
        <v>45289</v>
      </c>
      <c r="C353" s="2" t="s">
        <v>15</v>
      </c>
      <c r="D353" s="2" t="s">
        <v>19</v>
      </c>
      <c r="E353" s="2" t="s">
        <v>21</v>
      </c>
      <c r="F353" s="2">
        <v>71287</v>
      </c>
      <c r="G353" s="2">
        <v>52524</v>
      </c>
    </row>
    <row r="354" spans="1:7" x14ac:dyDescent="0.3">
      <c r="A354" s="2">
        <v>1353</v>
      </c>
      <c r="B354" s="3">
        <v>45253</v>
      </c>
      <c r="C354" s="2" t="s">
        <v>13</v>
      </c>
      <c r="D354" s="2" t="s">
        <v>18</v>
      </c>
      <c r="E354" s="2" t="s">
        <v>24</v>
      </c>
      <c r="F354" s="2">
        <v>7061</v>
      </c>
      <c r="G354" s="2">
        <v>4250</v>
      </c>
    </row>
    <row r="355" spans="1:7" x14ac:dyDescent="0.3">
      <c r="A355" s="2">
        <v>1354</v>
      </c>
      <c r="B355" s="3">
        <v>44933</v>
      </c>
      <c r="C355" s="2" t="s">
        <v>9</v>
      </c>
      <c r="D355" s="2" t="s">
        <v>20</v>
      </c>
      <c r="E355" s="2" t="s">
        <v>23</v>
      </c>
      <c r="F355" s="2">
        <v>42576</v>
      </c>
      <c r="G355" s="2">
        <v>25764</v>
      </c>
    </row>
    <row r="356" spans="1:7" x14ac:dyDescent="0.3">
      <c r="A356" s="2">
        <v>1355</v>
      </c>
      <c r="B356" s="3">
        <v>45272</v>
      </c>
      <c r="C356" s="2" t="s">
        <v>16</v>
      </c>
      <c r="D356" s="2" t="s">
        <v>17</v>
      </c>
      <c r="E356" s="2" t="s">
        <v>22</v>
      </c>
      <c r="F356" s="2">
        <v>17624</v>
      </c>
      <c r="G356" s="2">
        <v>13346</v>
      </c>
    </row>
    <row r="357" spans="1:7" x14ac:dyDescent="0.3">
      <c r="A357" s="2">
        <v>1356</v>
      </c>
      <c r="B357" s="3">
        <v>45244</v>
      </c>
      <c r="C357" s="2" t="s">
        <v>11</v>
      </c>
      <c r="D357" s="2" t="s">
        <v>20</v>
      </c>
      <c r="E357" s="2" t="s">
        <v>25</v>
      </c>
      <c r="F357" s="2">
        <v>40038</v>
      </c>
      <c r="G357" s="2">
        <v>33571</v>
      </c>
    </row>
    <row r="358" spans="1:7" x14ac:dyDescent="0.3">
      <c r="A358" s="2">
        <v>1357</v>
      </c>
      <c r="B358" s="3">
        <v>45134</v>
      </c>
      <c r="C358" s="2" t="s">
        <v>14</v>
      </c>
      <c r="D358" s="2" t="s">
        <v>17</v>
      </c>
      <c r="E358" s="2" t="s">
        <v>21</v>
      </c>
      <c r="F358" s="2">
        <v>44318</v>
      </c>
      <c r="G358" s="2">
        <v>35685</v>
      </c>
    </row>
    <row r="359" spans="1:7" x14ac:dyDescent="0.3">
      <c r="A359" s="2">
        <v>1358</v>
      </c>
      <c r="B359" s="3">
        <v>45261</v>
      </c>
      <c r="C359" s="2" t="s">
        <v>9</v>
      </c>
      <c r="D359" s="2" t="s">
        <v>19</v>
      </c>
      <c r="E359" s="2" t="s">
        <v>24</v>
      </c>
      <c r="F359" s="2">
        <v>54710</v>
      </c>
      <c r="G359" s="2">
        <v>39016</v>
      </c>
    </row>
    <row r="360" spans="1:7" x14ac:dyDescent="0.3">
      <c r="A360" s="2">
        <v>1359</v>
      </c>
      <c r="B360" s="3">
        <v>45253</v>
      </c>
      <c r="C360" s="2" t="s">
        <v>9</v>
      </c>
      <c r="D360" s="2" t="s">
        <v>17</v>
      </c>
      <c r="E360" s="2" t="s">
        <v>22</v>
      </c>
      <c r="F360" s="2">
        <v>70517</v>
      </c>
      <c r="G360" s="2">
        <v>60193</v>
      </c>
    </row>
    <row r="361" spans="1:7" x14ac:dyDescent="0.3">
      <c r="A361" s="2">
        <v>1360</v>
      </c>
      <c r="B361" s="3">
        <v>45096</v>
      </c>
      <c r="C361" s="2" t="s">
        <v>13</v>
      </c>
      <c r="D361" s="2" t="s">
        <v>19</v>
      </c>
      <c r="E361" s="2" t="s">
        <v>23</v>
      </c>
      <c r="F361" s="2">
        <v>10577</v>
      </c>
      <c r="G361" s="2">
        <v>7075</v>
      </c>
    </row>
    <row r="362" spans="1:7" x14ac:dyDescent="0.3">
      <c r="A362" s="2">
        <v>1361</v>
      </c>
      <c r="B362" s="3">
        <v>45281</v>
      </c>
      <c r="C362" s="2" t="s">
        <v>13</v>
      </c>
      <c r="D362" s="2" t="s">
        <v>18</v>
      </c>
      <c r="E362" s="2" t="s">
        <v>25</v>
      </c>
      <c r="F362" s="2">
        <v>11102</v>
      </c>
      <c r="G362" s="2">
        <v>9739</v>
      </c>
    </row>
    <row r="363" spans="1:7" x14ac:dyDescent="0.3">
      <c r="A363" s="2">
        <v>1362</v>
      </c>
      <c r="B363" s="3">
        <v>45070</v>
      </c>
      <c r="C363" s="2" t="s">
        <v>11</v>
      </c>
      <c r="D363" s="2" t="s">
        <v>19</v>
      </c>
      <c r="E363" s="2" t="s">
        <v>21</v>
      </c>
      <c r="F363" s="2">
        <v>46220</v>
      </c>
      <c r="G363" s="2">
        <v>27949</v>
      </c>
    </row>
    <row r="364" spans="1:7" x14ac:dyDescent="0.3">
      <c r="A364" s="2">
        <v>1363</v>
      </c>
      <c r="B364" s="3">
        <v>45000</v>
      </c>
      <c r="C364" s="2" t="s">
        <v>16</v>
      </c>
      <c r="D364" s="2" t="s">
        <v>19</v>
      </c>
      <c r="E364" s="2" t="s">
        <v>25</v>
      </c>
      <c r="F364" s="2">
        <v>26292</v>
      </c>
      <c r="G364" s="2">
        <v>20223</v>
      </c>
    </row>
    <row r="365" spans="1:7" x14ac:dyDescent="0.3">
      <c r="A365" s="2">
        <v>1364</v>
      </c>
      <c r="B365" s="3">
        <v>45361</v>
      </c>
      <c r="C365" s="2" t="s">
        <v>16</v>
      </c>
      <c r="D365" s="2" t="s">
        <v>20</v>
      </c>
      <c r="E365" s="2" t="s">
        <v>24</v>
      </c>
      <c r="F365" s="2">
        <v>23343</v>
      </c>
      <c r="G365" s="2">
        <v>19541</v>
      </c>
    </row>
    <row r="366" spans="1:7" x14ac:dyDescent="0.3">
      <c r="A366" s="2">
        <v>1365</v>
      </c>
      <c r="B366" s="3">
        <v>44967</v>
      </c>
      <c r="C366" s="2" t="s">
        <v>11</v>
      </c>
      <c r="D366" s="2" t="s">
        <v>20</v>
      </c>
      <c r="E366" s="2" t="s">
        <v>22</v>
      </c>
      <c r="F366" s="2">
        <v>17803</v>
      </c>
      <c r="G366" s="2">
        <v>13016</v>
      </c>
    </row>
    <row r="367" spans="1:7" x14ac:dyDescent="0.3">
      <c r="A367" s="2">
        <v>1366</v>
      </c>
      <c r="B367" s="3">
        <v>45101</v>
      </c>
      <c r="C367" s="2" t="s">
        <v>13</v>
      </c>
      <c r="D367" s="2" t="s">
        <v>18</v>
      </c>
      <c r="E367" s="2" t="s">
        <v>25</v>
      </c>
      <c r="F367" s="2">
        <v>8883</v>
      </c>
      <c r="G367" s="2">
        <v>7019</v>
      </c>
    </row>
    <row r="368" spans="1:7" x14ac:dyDescent="0.3">
      <c r="A368" s="2">
        <v>1367</v>
      </c>
      <c r="B368" s="3">
        <v>45157</v>
      </c>
      <c r="C368" s="2" t="s">
        <v>14</v>
      </c>
      <c r="D368" s="2" t="s">
        <v>17</v>
      </c>
      <c r="E368" s="2" t="s">
        <v>25</v>
      </c>
      <c r="F368" s="2">
        <v>77487</v>
      </c>
      <c r="G368" s="2">
        <v>68370</v>
      </c>
    </row>
    <row r="369" spans="1:7" x14ac:dyDescent="0.3">
      <c r="A369" s="2">
        <v>1368</v>
      </c>
      <c r="B369" s="3">
        <v>45275</v>
      </c>
      <c r="C369" s="2" t="s">
        <v>13</v>
      </c>
      <c r="D369" s="2" t="s">
        <v>18</v>
      </c>
      <c r="E369" s="2" t="s">
        <v>22</v>
      </c>
      <c r="F369" s="2">
        <v>43715</v>
      </c>
      <c r="G369" s="2">
        <v>36695</v>
      </c>
    </row>
    <row r="370" spans="1:7" x14ac:dyDescent="0.3">
      <c r="A370" s="2">
        <v>1369</v>
      </c>
      <c r="B370" s="3">
        <v>44969</v>
      </c>
      <c r="C370" s="2" t="s">
        <v>7</v>
      </c>
      <c r="D370" s="2" t="s">
        <v>17</v>
      </c>
      <c r="E370" s="2" t="s">
        <v>24</v>
      </c>
      <c r="F370" s="2">
        <v>25221</v>
      </c>
      <c r="G370" s="2">
        <v>20729</v>
      </c>
    </row>
    <row r="371" spans="1:7" x14ac:dyDescent="0.3">
      <c r="A371" s="2">
        <v>1370</v>
      </c>
      <c r="B371" s="3">
        <v>44981</v>
      </c>
      <c r="C371" s="2" t="s">
        <v>8</v>
      </c>
      <c r="D371" s="2" t="s">
        <v>19</v>
      </c>
      <c r="E371" s="2" t="s">
        <v>25</v>
      </c>
      <c r="F371" s="2">
        <v>63292</v>
      </c>
      <c r="G371" s="2">
        <v>44809</v>
      </c>
    </row>
    <row r="372" spans="1:7" x14ac:dyDescent="0.3">
      <c r="A372" s="2">
        <v>1371</v>
      </c>
      <c r="B372" s="3">
        <v>44994</v>
      </c>
      <c r="C372" s="2" t="s">
        <v>8</v>
      </c>
      <c r="D372" s="2" t="s">
        <v>17</v>
      </c>
      <c r="E372" s="2" t="s">
        <v>24</v>
      </c>
      <c r="F372" s="2">
        <v>63830</v>
      </c>
      <c r="G372" s="2">
        <v>48963</v>
      </c>
    </row>
    <row r="373" spans="1:7" x14ac:dyDescent="0.3">
      <c r="A373" s="2">
        <v>1372</v>
      </c>
      <c r="B373" s="3">
        <v>44979</v>
      </c>
      <c r="C373" s="2" t="s">
        <v>9</v>
      </c>
      <c r="D373" s="2" t="s">
        <v>19</v>
      </c>
      <c r="E373" s="2" t="s">
        <v>25</v>
      </c>
      <c r="F373" s="2">
        <v>77642</v>
      </c>
      <c r="G373" s="2">
        <v>48752</v>
      </c>
    </row>
    <row r="374" spans="1:7" x14ac:dyDescent="0.3">
      <c r="A374" s="2">
        <v>1373</v>
      </c>
      <c r="B374" s="3">
        <v>45093</v>
      </c>
      <c r="C374" s="2" t="s">
        <v>16</v>
      </c>
      <c r="D374" s="2" t="s">
        <v>19</v>
      </c>
      <c r="E374" s="2" t="s">
        <v>25</v>
      </c>
      <c r="F374" s="2">
        <v>59238</v>
      </c>
      <c r="G374" s="2">
        <v>42434</v>
      </c>
    </row>
    <row r="375" spans="1:7" x14ac:dyDescent="0.3">
      <c r="A375" s="2">
        <v>1374</v>
      </c>
      <c r="B375" s="3">
        <v>45213</v>
      </c>
      <c r="C375" s="2" t="s">
        <v>12</v>
      </c>
      <c r="D375" s="2" t="s">
        <v>17</v>
      </c>
      <c r="E375" s="2" t="s">
        <v>24</v>
      </c>
      <c r="F375" s="2">
        <v>27216</v>
      </c>
      <c r="G375" s="2">
        <v>17463</v>
      </c>
    </row>
    <row r="376" spans="1:7" x14ac:dyDescent="0.3">
      <c r="A376" s="2">
        <v>1375</v>
      </c>
      <c r="B376" s="3">
        <v>45179</v>
      </c>
      <c r="C376" s="2" t="s">
        <v>15</v>
      </c>
      <c r="D376" s="2" t="s">
        <v>19</v>
      </c>
      <c r="E376" s="2" t="s">
        <v>21</v>
      </c>
      <c r="F376" s="2">
        <v>61973</v>
      </c>
      <c r="G376" s="2">
        <v>42314</v>
      </c>
    </row>
    <row r="377" spans="1:7" x14ac:dyDescent="0.3">
      <c r="A377" s="2">
        <v>1376</v>
      </c>
      <c r="B377" s="3">
        <v>45327</v>
      </c>
      <c r="C377" s="2" t="s">
        <v>8</v>
      </c>
      <c r="D377" s="2" t="s">
        <v>20</v>
      </c>
      <c r="E377" s="2" t="s">
        <v>25</v>
      </c>
      <c r="F377" s="2">
        <v>37321</v>
      </c>
      <c r="G377" s="2">
        <v>30464</v>
      </c>
    </row>
    <row r="378" spans="1:7" x14ac:dyDescent="0.3">
      <c r="A378" s="2">
        <v>1377</v>
      </c>
      <c r="B378" s="3">
        <v>45242</v>
      </c>
      <c r="C378" s="2" t="s">
        <v>12</v>
      </c>
      <c r="D378" s="2" t="s">
        <v>18</v>
      </c>
      <c r="E378" s="2" t="s">
        <v>22</v>
      </c>
      <c r="F378" s="2">
        <v>22758</v>
      </c>
      <c r="G378" s="2">
        <v>15734</v>
      </c>
    </row>
    <row r="379" spans="1:7" x14ac:dyDescent="0.3">
      <c r="A379" s="2">
        <v>1378</v>
      </c>
      <c r="B379" s="3">
        <v>45097</v>
      </c>
      <c r="C379" s="2" t="s">
        <v>13</v>
      </c>
      <c r="D379" s="2" t="s">
        <v>18</v>
      </c>
      <c r="E379" s="2" t="s">
        <v>25</v>
      </c>
      <c r="F379" s="2">
        <v>62700</v>
      </c>
      <c r="G379" s="2">
        <v>43916</v>
      </c>
    </row>
    <row r="380" spans="1:7" x14ac:dyDescent="0.3">
      <c r="A380" s="2">
        <v>1379</v>
      </c>
      <c r="B380" s="3">
        <v>45367</v>
      </c>
      <c r="C380" s="2" t="s">
        <v>13</v>
      </c>
      <c r="D380" s="2" t="s">
        <v>17</v>
      </c>
      <c r="E380" s="2" t="s">
        <v>25</v>
      </c>
      <c r="F380" s="2">
        <v>47030</v>
      </c>
      <c r="G380" s="2">
        <v>36728</v>
      </c>
    </row>
    <row r="381" spans="1:7" x14ac:dyDescent="0.3">
      <c r="A381" s="2">
        <v>1380</v>
      </c>
      <c r="B381" s="3">
        <v>45172</v>
      </c>
      <c r="C381" s="2" t="s">
        <v>10</v>
      </c>
      <c r="D381" s="2" t="s">
        <v>17</v>
      </c>
      <c r="E381" s="2" t="s">
        <v>24</v>
      </c>
      <c r="F381" s="2">
        <v>46830</v>
      </c>
      <c r="G381" s="2">
        <v>32192</v>
      </c>
    </row>
    <row r="382" spans="1:7" x14ac:dyDescent="0.3">
      <c r="A382" s="2">
        <v>1381</v>
      </c>
      <c r="B382" s="3">
        <v>45178</v>
      </c>
      <c r="C382" s="2" t="s">
        <v>13</v>
      </c>
      <c r="D382" s="2" t="s">
        <v>17</v>
      </c>
      <c r="E382" s="2" t="s">
        <v>25</v>
      </c>
      <c r="F382" s="2">
        <v>54290</v>
      </c>
      <c r="G382" s="2">
        <v>37139</v>
      </c>
    </row>
    <row r="383" spans="1:7" x14ac:dyDescent="0.3">
      <c r="A383" s="2">
        <v>1382</v>
      </c>
      <c r="B383" s="3">
        <v>45113</v>
      </c>
      <c r="C383" s="2" t="s">
        <v>8</v>
      </c>
      <c r="D383" s="2" t="s">
        <v>17</v>
      </c>
      <c r="E383" s="2" t="s">
        <v>23</v>
      </c>
      <c r="F383" s="2">
        <v>76516</v>
      </c>
      <c r="G383" s="2">
        <v>50039</v>
      </c>
    </row>
    <row r="384" spans="1:7" x14ac:dyDescent="0.3">
      <c r="A384" s="2">
        <v>1383</v>
      </c>
      <c r="B384" s="3">
        <v>44940</v>
      </c>
      <c r="C384" s="2" t="s">
        <v>14</v>
      </c>
      <c r="D384" s="2" t="s">
        <v>17</v>
      </c>
      <c r="E384" s="2" t="s">
        <v>24</v>
      </c>
      <c r="F384" s="2">
        <v>43185</v>
      </c>
      <c r="G384" s="2">
        <v>36680</v>
      </c>
    </row>
    <row r="385" spans="1:7" x14ac:dyDescent="0.3">
      <c r="A385" s="2">
        <v>1384</v>
      </c>
      <c r="B385" s="3">
        <v>45361</v>
      </c>
      <c r="C385" s="2" t="s">
        <v>16</v>
      </c>
      <c r="D385" s="2" t="s">
        <v>18</v>
      </c>
      <c r="E385" s="2" t="s">
        <v>21</v>
      </c>
      <c r="F385" s="2">
        <v>44692</v>
      </c>
      <c r="G385" s="2">
        <v>30060</v>
      </c>
    </row>
    <row r="386" spans="1:7" x14ac:dyDescent="0.3">
      <c r="A386" s="2">
        <v>1385</v>
      </c>
      <c r="B386" s="3">
        <v>45293</v>
      </c>
      <c r="C386" s="2" t="s">
        <v>16</v>
      </c>
      <c r="D386" s="2" t="s">
        <v>18</v>
      </c>
      <c r="E386" s="2" t="s">
        <v>22</v>
      </c>
      <c r="F386" s="2">
        <v>63860</v>
      </c>
      <c r="G386" s="2">
        <v>57295</v>
      </c>
    </row>
    <row r="387" spans="1:7" x14ac:dyDescent="0.3">
      <c r="A387" s="2">
        <v>1386</v>
      </c>
      <c r="B387" s="3">
        <v>45132</v>
      </c>
      <c r="C387" s="2" t="s">
        <v>11</v>
      </c>
      <c r="D387" s="2" t="s">
        <v>18</v>
      </c>
      <c r="E387" s="2" t="s">
        <v>23</v>
      </c>
      <c r="F387" s="2">
        <v>9818</v>
      </c>
      <c r="G387" s="2">
        <v>8219</v>
      </c>
    </row>
    <row r="388" spans="1:7" x14ac:dyDescent="0.3">
      <c r="A388" s="2">
        <v>1387</v>
      </c>
      <c r="B388" s="3">
        <v>45342</v>
      </c>
      <c r="C388" s="2" t="s">
        <v>11</v>
      </c>
      <c r="D388" s="2" t="s">
        <v>19</v>
      </c>
      <c r="E388" s="2" t="s">
        <v>22</v>
      </c>
      <c r="F388" s="2">
        <v>37536</v>
      </c>
      <c r="G388" s="2">
        <v>29926</v>
      </c>
    </row>
    <row r="389" spans="1:7" x14ac:dyDescent="0.3">
      <c r="A389" s="2">
        <v>1388</v>
      </c>
      <c r="B389" s="3">
        <v>45258</v>
      </c>
      <c r="C389" s="2" t="s">
        <v>13</v>
      </c>
      <c r="D389" s="2" t="s">
        <v>19</v>
      </c>
      <c r="E389" s="2" t="s">
        <v>23</v>
      </c>
      <c r="F389" s="2">
        <v>57378</v>
      </c>
      <c r="G389" s="2">
        <v>51068</v>
      </c>
    </row>
    <row r="390" spans="1:7" x14ac:dyDescent="0.3">
      <c r="A390" s="2">
        <v>1389</v>
      </c>
      <c r="B390" s="3">
        <v>45334</v>
      </c>
      <c r="C390" s="2" t="s">
        <v>16</v>
      </c>
      <c r="D390" s="2" t="s">
        <v>19</v>
      </c>
      <c r="E390" s="2" t="s">
        <v>22</v>
      </c>
      <c r="F390" s="2">
        <v>17924</v>
      </c>
      <c r="G390" s="2">
        <v>12145</v>
      </c>
    </row>
    <row r="391" spans="1:7" x14ac:dyDescent="0.3">
      <c r="A391" s="2">
        <v>1390</v>
      </c>
      <c r="B391" s="3">
        <v>45192</v>
      </c>
      <c r="C391" s="2" t="s">
        <v>11</v>
      </c>
      <c r="D391" s="2" t="s">
        <v>17</v>
      </c>
      <c r="E391" s="2" t="s">
        <v>24</v>
      </c>
      <c r="F391" s="2">
        <v>54036</v>
      </c>
      <c r="G391" s="2">
        <v>38762</v>
      </c>
    </row>
    <row r="392" spans="1:7" x14ac:dyDescent="0.3">
      <c r="A392" s="2">
        <v>1391</v>
      </c>
      <c r="B392" s="3">
        <v>45228</v>
      </c>
      <c r="C392" s="2" t="s">
        <v>11</v>
      </c>
      <c r="D392" s="2" t="s">
        <v>17</v>
      </c>
      <c r="E392" s="2" t="s">
        <v>25</v>
      </c>
      <c r="F392" s="2">
        <v>8219</v>
      </c>
      <c r="G392" s="2">
        <v>6121</v>
      </c>
    </row>
    <row r="393" spans="1:7" x14ac:dyDescent="0.3">
      <c r="A393" s="2">
        <v>1392</v>
      </c>
      <c r="B393" s="3">
        <v>44970</v>
      </c>
      <c r="C393" s="2" t="s">
        <v>8</v>
      </c>
      <c r="D393" s="2" t="s">
        <v>17</v>
      </c>
      <c r="E393" s="2" t="s">
        <v>25</v>
      </c>
      <c r="F393" s="2">
        <v>45880</v>
      </c>
      <c r="G393" s="2">
        <v>32249</v>
      </c>
    </row>
    <row r="394" spans="1:7" x14ac:dyDescent="0.3">
      <c r="A394" s="2">
        <v>1393</v>
      </c>
      <c r="B394" s="3">
        <v>45193</v>
      </c>
      <c r="C394" s="2" t="s">
        <v>14</v>
      </c>
      <c r="D394" s="2" t="s">
        <v>20</v>
      </c>
      <c r="E394" s="2" t="s">
        <v>24</v>
      </c>
      <c r="F394" s="2">
        <v>17795</v>
      </c>
      <c r="G394" s="2">
        <v>13016</v>
      </c>
    </row>
    <row r="395" spans="1:7" x14ac:dyDescent="0.3">
      <c r="A395" s="2">
        <v>1394</v>
      </c>
      <c r="B395" s="3">
        <v>45090</v>
      </c>
      <c r="C395" s="2" t="s">
        <v>8</v>
      </c>
      <c r="D395" s="2" t="s">
        <v>20</v>
      </c>
      <c r="E395" s="2" t="s">
        <v>22</v>
      </c>
      <c r="F395" s="2">
        <v>20084</v>
      </c>
      <c r="G395" s="2">
        <v>12186</v>
      </c>
    </row>
    <row r="396" spans="1:7" x14ac:dyDescent="0.3">
      <c r="A396" s="2">
        <v>1395</v>
      </c>
      <c r="B396" s="3">
        <v>44982</v>
      </c>
      <c r="C396" s="2" t="s">
        <v>15</v>
      </c>
      <c r="D396" s="2" t="s">
        <v>17</v>
      </c>
      <c r="E396" s="2" t="s">
        <v>23</v>
      </c>
      <c r="F396" s="2">
        <v>27865</v>
      </c>
      <c r="G396" s="2">
        <v>21332</v>
      </c>
    </row>
    <row r="397" spans="1:7" x14ac:dyDescent="0.3">
      <c r="A397" s="2">
        <v>1396</v>
      </c>
      <c r="B397" s="3">
        <v>45145</v>
      </c>
      <c r="C397" s="2" t="s">
        <v>14</v>
      </c>
      <c r="D397" s="2" t="s">
        <v>17</v>
      </c>
      <c r="E397" s="2" t="s">
        <v>24</v>
      </c>
      <c r="F397" s="2">
        <v>29176</v>
      </c>
      <c r="G397" s="2">
        <v>19137</v>
      </c>
    </row>
    <row r="398" spans="1:7" x14ac:dyDescent="0.3">
      <c r="A398" s="2">
        <v>1397</v>
      </c>
      <c r="B398" s="3">
        <v>45129</v>
      </c>
      <c r="C398" s="2" t="s">
        <v>9</v>
      </c>
      <c r="D398" s="2" t="s">
        <v>17</v>
      </c>
      <c r="E398" s="2" t="s">
        <v>24</v>
      </c>
      <c r="F398" s="2">
        <v>61302</v>
      </c>
      <c r="G398" s="2">
        <v>43932</v>
      </c>
    </row>
    <row r="399" spans="1:7" x14ac:dyDescent="0.3">
      <c r="A399" s="2">
        <v>1398</v>
      </c>
      <c r="B399" s="3">
        <v>45032</v>
      </c>
      <c r="C399" s="2" t="s">
        <v>7</v>
      </c>
      <c r="D399" s="2" t="s">
        <v>19</v>
      </c>
      <c r="E399" s="2" t="s">
        <v>23</v>
      </c>
      <c r="F399" s="2">
        <v>18336</v>
      </c>
      <c r="G399" s="2">
        <v>15399</v>
      </c>
    </row>
    <row r="400" spans="1:7" x14ac:dyDescent="0.3">
      <c r="A400" s="2">
        <v>1399</v>
      </c>
      <c r="B400" s="3">
        <v>45114</v>
      </c>
      <c r="C400" s="2" t="s">
        <v>10</v>
      </c>
      <c r="D400" s="2" t="s">
        <v>17</v>
      </c>
      <c r="E400" s="2" t="s">
        <v>24</v>
      </c>
      <c r="F400" s="2">
        <v>19936</v>
      </c>
      <c r="G400" s="2">
        <v>13530</v>
      </c>
    </row>
    <row r="401" spans="1:7" x14ac:dyDescent="0.3">
      <c r="A401" s="2">
        <v>1400</v>
      </c>
      <c r="B401" s="3">
        <v>45197</v>
      </c>
      <c r="C401" s="2" t="s">
        <v>10</v>
      </c>
      <c r="D401" s="2" t="s">
        <v>18</v>
      </c>
      <c r="E401" s="2" t="s">
        <v>23</v>
      </c>
      <c r="F401" s="2">
        <v>56451</v>
      </c>
      <c r="G401" s="2">
        <v>43811</v>
      </c>
    </row>
    <row r="402" spans="1:7" x14ac:dyDescent="0.3">
      <c r="A402" s="2">
        <v>1401</v>
      </c>
      <c r="B402" s="3">
        <v>45359</v>
      </c>
      <c r="C402" s="2" t="s">
        <v>14</v>
      </c>
      <c r="D402" s="2" t="s">
        <v>17</v>
      </c>
      <c r="E402" s="2" t="s">
        <v>25</v>
      </c>
      <c r="F402" s="2">
        <v>16108</v>
      </c>
      <c r="G402" s="2">
        <v>12912</v>
      </c>
    </row>
    <row r="403" spans="1:7" x14ac:dyDescent="0.3">
      <c r="A403" s="2">
        <v>1402</v>
      </c>
      <c r="B403" s="3">
        <v>45049</v>
      </c>
      <c r="C403" s="2" t="s">
        <v>7</v>
      </c>
      <c r="D403" s="2" t="s">
        <v>19</v>
      </c>
      <c r="E403" s="2" t="s">
        <v>21</v>
      </c>
      <c r="F403" s="2">
        <v>53929</v>
      </c>
      <c r="G403" s="2">
        <v>43576</v>
      </c>
    </row>
    <row r="404" spans="1:7" x14ac:dyDescent="0.3">
      <c r="A404" s="2">
        <v>1403</v>
      </c>
      <c r="B404" s="3">
        <v>45141</v>
      </c>
      <c r="C404" s="2" t="s">
        <v>13</v>
      </c>
      <c r="D404" s="2" t="s">
        <v>17</v>
      </c>
      <c r="E404" s="2" t="s">
        <v>23</v>
      </c>
      <c r="F404" s="2">
        <v>55293</v>
      </c>
      <c r="G404" s="2">
        <v>40193</v>
      </c>
    </row>
    <row r="405" spans="1:7" x14ac:dyDescent="0.3">
      <c r="A405" s="2">
        <v>1404</v>
      </c>
      <c r="B405" s="3">
        <v>45202</v>
      </c>
      <c r="C405" s="2" t="s">
        <v>15</v>
      </c>
      <c r="D405" s="2" t="s">
        <v>17</v>
      </c>
      <c r="E405" s="2" t="s">
        <v>24</v>
      </c>
      <c r="F405" s="2">
        <v>42858</v>
      </c>
      <c r="G405" s="2">
        <v>27518</v>
      </c>
    </row>
    <row r="406" spans="1:7" x14ac:dyDescent="0.3">
      <c r="A406" s="2">
        <v>1405</v>
      </c>
      <c r="B406" s="3">
        <v>45157</v>
      </c>
      <c r="C406" s="2" t="s">
        <v>13</v>
      </c>
      <c r="D406" s="2" t="s">
        <v>19</v>
      </c>
      <c r="E406" s="2" t="s">
        <v>25</v>
      </c>
      <c r="F406" s="2">
        <v>6256</v>
      </c>
      <c r="G406" s="2">
        <v>4663</v>
      </c>
    </row>
    <row r="407" spans="1:7" x14ac:dyDescent="0.3">
      <c r="A407" s="2">
        <v>1406</v>
      </c>
      <c r="B407" s="3">
        <v>45123</v>
      </c>
      <c r="C407" s="2" t="s">
        <v>11</v>
      </c>
      <c r="D407" s="2" t="s">
        <v>18</v>
      </c>
      <c r="E407" s="2" t="s">
        <v>24</v>
      </c>
      <c r="F407" s="2">
        <v>69451</v>
      </c>
      <c r="G407" s="2">
        <v>50330</v>
      </c>
    </row>
    <row r="408" spans="1:7" x14ac:dyDescent="0.3">
      <c r="A408" s="2">
        <v>1407</v>
      </c>
      <c r="B408" s="3">
        <v>45177</v>
      </c>
      <c r="C408" s="2" t="s">
        <v>15</v>
      </c>
      <c r="D408" s="2" t="s">
        <v>19</v>
      </c>
      <c r="E408" s="2" t="s">
        <v>23</v>
      </c>
      <c r="F408" s="2">
        <v>9044</v>
      </c>
      <c r="G408" s="2">
        <v>7585</v>
      </c>
    </row>
    <row r="409" spans="1:7" x14ac:dyDescent="0.3">
      <c r="A409" s="2">
        <v>1408</v>
      </c>
      <c r="B409" s="3">
        <v>44943</v>
      </c>
      <c r="C409" s="2" t="s">
        <v>7</v>
      </c>
      <c r="D409" s="2" t="s">
        <v>17</v>
      </c>
      <c r="E409" s="2" t="s">
        <v>23</v>
      </c>
      <c r="F409" s="2">
        <v>42836</v>
      </c>
      <c r="G409" s="2">
        <v>27863</v>
      </c>
    </row>
    <row r="410" spans="1:7" x14ac:dyDescent="0.3">
      <c r="A410" s="2">
        <v>1409</v>
      </c>
      <c r="B410" s="3">
        <v>45307</v>
      </c>
      <c r="C410" s="2" t="s">
        <v>14</v>
      </c>
      <c r="D410" s="2" t="s">
        <v>19</v>
      </c>
      <c r="E410" s="2" t="s">
        <v>23</v>
      </c>
      <c r="F410" s="2">
        <v>19969</v>
      </c>
      <c r="G410" s="2">
        <v>13586</v>
      </c>
    </row>
    <row r="411" spans="1:7" x14ac:dyDescent="0.3">
      <c r="A411" s="2">
        <v>1410</v>
      </c>
      <c r="B411" s="3">
        <v>45114</v>
      </c>
      <c r="C411" s="2" t="s">
        <v>11</v>
      </c>
      <c r="D411" s="2" t="s">
        <v>19</v>
      </c>
      <c r="E411" s="2" t="s">
        <v>24</v>
      </c>
      <c r="F411" s="2">
        <v>76611</v>
      </c>
      <c r="G411" s="2">
        <v>50989</v>
      </c>
    </row>
    <row r="412" spans="1:7" x14ac:dyDescent="0.3">
      <c r="A412" s="2">
        <v>1411</v>
      </c>
      <c r="B412" s="3">
        <v>45303</v>
      </c>
      <c r="C412" s="2" t="s">
        <v>12</v>
      </c>
      <c r="D412" s="2" t="s">
        <v>20</v>
      </c>
      <c r="E412" s="2" t="s">
        <v>22</v>
      </c>
      <c r="F412" s="2">
        <v>63947</v>
      </c>
      <c r="G412" s="2">
        <v>43410</v>
      </c>
    </row>
    <row r="413" spans="1:7" x14ac:dyDescent="0.3">
      <c r="A413" s="2">
        <v>1412</v>
      </c>
      <c r="B413" s="3">
        <v>44971</v>
      </c>
      <c r="C413" s="2" t="s">
        <v>14</v>
      </c>
      <c r="D413" s="2" t="s">
        <v>19</v>
      </c>
      <c r="E413" s="2" t="s">
        <v>21</v>
      </c>
      <c r="F413" s="2">
        <v>32509</v>
      </c>
      <c r="G413" s="2">
        <v>27411</v>
      </c>
    </row>
    <row r="414" spans="1:7" x14ac:dyDescent="0.3">
      <c r="A414" s="2">
        <v>1413</v>
      </c>
      <c r="B414" s="3">
        <v>45106</v>
      </c>
      <c r="C414" s="2" t="s">
        <v>13</v>
      </c>
      <c r="D414" s="2" t="s">
        <v>18</v>
      </c>
      <c r="E414" s="2" t="s">
        <v>21</v>
      </c>
      <c r="F414" s="2">
        <v>23249</v>
      </c>
      <c r="G414" s="2">
        <v>19423</v>
      </c>
    </row>
    <row r="415" spans="1:7" x14ac:dyDescent="0.3">
      <c r="A415" s="2">
        <v>1414</v>
      </c>
      <c r="B415" s="3">
        <v>45339</v>
      </c>
      <c r="C415" s="2" t="s">
        <v>9</v>
      </c>
      <c r="D415" s="2" t="s">
        <v>20</v>
      </c>
      <c r="E415" s="2" t="s">
        <v>23</v>
      </c>
      <c r="F415" s="2">
        <v>41842</v>
      </c>
      <c r="G415" s="2">
        <v>32597</v>
      </c>
    </row>
    <row r="416" spans="1:7" x14ac:dyDescent="0.3">
      <c r="A416" s="2">
        <v>1415</v>
      </c>
      <c r="B416" s="3">
        <v>45287</v>
      </c>
      <c r="C416" s="2" t="s">
        <v>7</v>
      </c>
      <c r="D416" s="2" t="s">
        <v>20</v>
      </c>
      <c r="E416" s="2" t="s">
        <v>23</v>
      </c>
      <c r="F416" s="2">
        <v>40041</v>
      </c>
      <c r="G416" s="2">
        <v>35465</v>
      </c>
    </row>
    <row r="417" spans="1:7" x14ac:dyDescent="0.3">
      <c r="A417" s="2">
        <v>1416</v>
      </c>
      <c r="B417" s="3">
        <v>45274</v>
      </c>
      <c r="C417" s="2" t="s">
        <v>8</v>
      </c>
      <c r="D417" s="2" t="s">
        <v>17</v>
      </c>
      <c r="E417" s="2" t="s">
        <v>24</v>
      </c>
      <c r="F417" s="2">
        <v>12770</v>
      </c>
      <c r="G417" s="2">
        <v>11464</v>
      </c>
    </row>
    <row r="418" spans="1:7" x14ac:dyDescent="0.3">
      <c r="A418" s="2">
        <v>1417</v>
      </c>
      <c r="B418" s="3">
        <v>44991</v>
      </c>
      <c r="C418" s="2" t="s">
        <v>15</v>
      </c>
      <c r="D418" s="2" t="s">
        <v>17</v>
      </c>
      <c r="E418" s="2" t="s">
        <v>21</v>
      </c>
      <c r="F418" s="2">
        <v>47217</v>
      </c>
      <c r="G418" s="2">
        <v>40065</v>
      </c>
    </row>
    <row r="419" spans="1:7" x14ac:dyDescent="0.3">
      <c r="A419" s="2">
        <v>1418</v>
      </c>
      <c r="B419" s="3">
        <v>45273</v>
      </c>
      <c r="C419" s="2" t="s">
        <v>16</v>
      </c>
      <c r="D419" s="2" t="s">
        <v>18</v>
      </c>
      <c r="E419" s="2" t="s">
        <v>21</v>
      </c>
      <c r="F419" s="2">
        <v>40221</v>
      </c>
      <c r="G419" s="2">
        <v>31707</v>
      </c>
    </row>
    <row r="420" spans="1:7" x14ac:dyDescent="0.3">
      <c r="A420" s="2">
        <v>1419</v>
      </c>
      <c r="B420" s="3">
        <v>44965</v>
      </c>
      <c r="C420" s="2" t="s">
        <v>8</v>
      </c>
      <c r="D420" s="2" t="s">
        <v>18</v>
      </c>
      <c r="E420" s="2" t="s">
        <v>23</v>
      </c>
      <c r="F420" s="2">
        <v>41467</v>
      </c>
      <c r="G420" s="2">
        <v>33522</v>
      </c>
    </row>
    <row r="421" spans="1:7" x14ac:dyDescent="0.3">
      <c r="A421" s="2">
        <v>1420</v>
      </c>
      <c r="B421" s="3">
        <v>45159</v>
      </c>
      <c r="C421" s="2" t="s">
        <v>14</v>
      </c>
      <c r="D421" s="2" t="s">
        <v>20</v>
      </c>
      <c r="E421" s="2" t="s">
        <v>23</v>
      </c>
      <c r="F421" s="2">
        <v>5324</v>
      </c>
      <c r="G421" s="2">
        <v>4582</v>
      </c>
    </row>
    <row r="422" spans="1:7" x14ac:dyDescent="0.3">
      <c r="A422" s="2">
        <v>1421</v>
      </c>
      <c r="B422" s="3">
        <v>44974</v>
      </c>
      <c r="C422" s="2" t="s">
        <v>14</v>
      </c>
      <c r="D422" s="2" t="s">
        <v>20</v>
      </c>
      <c r="E422" s="2" t="s">
        <v>22</v>
      </c>
      <c r="F422" s="2">
        <v>75048</v>
      </c>
      <c r="G422" s="2">
        <v>53983</v>
      </c>
    </row>
    <row r="423" spans="1:7" x14ac:dyDescent="0.3">
      <c r="A423" s="2">
        <v>1422</v>
      </c>
      <c r="B423" s="3">
        <v>45349</v>
      </c>
      <c r="C423" s="2" t="s">
        <v>12</v>
      </c>
      <c r="D423" s="2" t="s">
        <v>18</v>
      </c>
      <c r="E423" s="2" t="s">
        <v>25</v>
      </c>
      <c r="F423" s="2">
        <v>47318</v>
      </c>
      <c r="G423" s="2">
        <v>40149</v>
      </c>
    </row>
    <row r="424" spans="1:7" x14ac:dyDescent="0.3">
      <c r="A424" s="2">
        <v>1423</v>
      </c>
      <c r="B424" s="3">
        <v>45222</v>
      </c>
      <c r="C424" s="2" t="s">
        <v>15</v>
      </c>
      <c r="D424" s="2" t="s">
        <v>18</v>
      </c>
      <c r="E424" s="2" t="s">
        <v>25</v>
      </c>
      <c r="F424" s="2">
        <v>11345</v>
      </c>
      <c r="G424" s="2">
        <v>6963</v>
      </c>
    </row>
    <row r="425" spans="1:7" x14ac:dyDescent="0.3">
      <c r="A425" s="2">
        <v>1424</v>
      </c>
      <c r="B425" s="3">
        <v>45355</v>
      </c>
      <c r="C425" s="2" t="s">
        <v>14</v>
      </c>
      <c r="D425" s="2" t="s">
        <v>19</v>
      </c>
      <c r="E425" s="2" t="s">
        <v>22</v>
      </c>
      <c r="F425" s="2">
        <v>25707</v>
      </c>
      <c r="G425" s="2">
        <v>18827</v>
      </c>
    </row>
    <row r="426" spans="1:7" x14ac:dyDescent="0.3">
      <c r="A426" s="2">
        <v>1425</v>
      </c>
      <c r="B426" s="3"/>
      <c r="C426" s="2" t="s">
        <v>16</v>
      </c>
      <c r="D426" s="2" t="s">
        <v>17</v>
      </c>
      <c r="E426" s="2" t="s">
        <v>21</v>
      </c>
      <c r="F426" s="2">
        <v>44566</v>
      </c>
      <c r="G426" s="2">
        <v>28865</v>
      </c>
    </row>
    <row r="427" spans="1:7" x14ac:dyDescent="0.3">
      <c r="A427" s="2">
        <v>1426</v>
      </c>
      <c r="B427" s="3">
        <v>45067</v>
      </c>
      <c r="C427" s="2" t="s">
        <v>8</v>
      </c>
      <c r="D427" s="2" t="s">
        <v>20</v>
      </c>
      <c r="E427" s="2" t="s">
        <v>25</v>
      </c>
      <c r="F427" s="2">
        <v>15803</v>
      </c>
      <c r="G427" s="2">
        <v>11244</v>
      </c>
    </row>
    <row r="428" spans="1:7" x14ac:dyDescent="0.3">
      <c r="A428" s="2">
        <v>1427</v>
      </c>
      <c r="B428" s="3">
        <v>45011</v>
      </c>
      <c r="C428" s="2" t="s">
        <v>9</v>
      </c>
      <c r="D428" s="2" t="s">
        <v>18</v>
      </c>
      <c r="E428" s="2" t="s">
        <v>25</v>
      </c>
      <c r="F428" s="2">
        <v>35689</v>
      </c>
      <c r="G428" s="2">
        <v>26009</v>
      </c>
    </row>
    <row r="429" spans="1:7" x14ac:dyDescent="0.3">
      <c r="A429" s="2">
        <v>1428</v>
      </c>
      <c r="B429" s="3">
        <v>44975</v>
      </c>
      <c r="C429" s="2" t="s">
        <v>9</v>
      </c>
      <c r="D429" s="2" t="s">
        <v>17</v>
      </c>
      <c r="E429" s="2" t="s">
        <v>24</v>
      </c>
      <c r="F429" s="2">
        <v>15215</v>
      </c>
      <c r="G429" s="2">
        <v>9734</v>
      </c>
    </row>
    <row r="430" spans="1:7" x14ac:dyDescent="0.3">
      <c r="A430" s="2">
        <v>1429</v>
      </c>
      <c r="B430" s="3">
        <v>45275</v>
      </c>
      <c r="C430" s="2" t="s">
        <v>14</v>
      </c>
      <c r="D430" s="2" t="s">
        <v>19</v>
      </c>
      <c r="E430" s="2" t="s">
        <v>22</v>
      </c>
      <c r="F430" s="2">
        <v>50032</v>
      </c>
      <c r="G430" s="2">
        <v>42283</v>
      </c>
    </row>
    <row r="431" spans="1:7" x14ac:dyDescent="0.3">
      <c r="A431" s="2">
        <v>1430</v>
      </c>
      <c r="B431" s="3">
        <v>45143</v>
      </c>
      <c r="C431" s="2" t="s">
        <v>15</v>
      </c>
      <c r="D431" s="2" t="s">
        <v>18</v>
      </c>
      <c r="E431" s="2" t="s">
        <v>22</v>
      </c>
      <c r="F431" s="2">
        <v>35008</v>
      </c>
      <c r="G431" s="2">
        <v>25027</v>
      </c>
    </row>
    <row r="432" spans="1:7" x14ac:dyDescent="0.3">
      <c r="A432" s="2">
        <v>1431</v>
      </c>
      <c r="B432" s="3">
        <v>44979</v>
      </c>
      <c r="C432" s="2" t="s">
        <v>8</v>
      </c>
      <c r="D432" s="2" t="s">
        <v>20</v>
      </c>
      <c r="E432" s="2" t="s">
        <v>25</v>
      </c>
      <c r="F432" s="2">
        <v>44223</v>
      </c>
      <c r="G432" s="2">
        <v>28353</v>
      </c>
    </row>
    <row r="433" spans="1:7" x14ac:dyDescent="0.3">
      <c r="A433" s="2">
        <v>1432</v>
      </c>
      <c r="B433" s="3">
        <v>45312</v>
      </c>
      <c r="C433" s="2" t="s">
        <v>15</v>
      </c>
      <c r="D433" s="2" t="s">
        <v>17</v>
      </c>
      <c r="E433" s="2" t="s">
        <v>22</v>
      </c>
      <c r="F433" s="2">
        <v>74534</v>
      </c>
      <c r="G433" s="2">
        <v>57315</v>
      </c>
    </row>
    <row r="434" spans="1:7" x14ac:dyDescent="0.3">
      <c r="A434" s="2">
        <v>1433</v>
      </c>
      <c r="B434" s="3">
        <v>45011</v>
      </c>
      <c r="C434" s="2" t="s">
        <v>14</v>
      </c>
      <c r="D434" s="2" t="s">
        <v>20</v>
      </c>
      <c r="E434" s="2" t="s">
        <v>21</v>
      </c>
      <c r="F434" s="2">
        <v>24840</v>
      </c>
      <c r="G434" s="2">
        <v>21759</v>
      </c>
    </row>
    <row r="435" spans="1:7" x14ac:dyDescent="0.3">
      <c r="A435" s="2">
        <v>1434</v>
      </c>
      <c r="B435" s="3">
        <v>45153</v>
      </c>
      <c r="C435" s="2" t="s">
        <v>12</v>
      </c>
      <c r="D435" s="2" t="s">
        <v>19</v>
      </c>
      <c r="E435" s="2" t="s">
        <v>22</v>
      </c>
      <c r="F435" s="2">
        <v>23351</v>
      </c>
      <c r="G435" s="2">
        <v>19281</v>
      </c>
    </row>
    <row r="436" spans="1:7" x14ac:dyDescent="0.3">
      <c r="A436" s="2">
        <v>1435</v>
      </c>
      <c r="B436" s="3">
        <v>45123</v>
      </c>
      <c r="C436" s="2" t="s">
        <v>10</v>
      </c>
      <c r="D436" s="2" t="s">
        <v>18</v>
      </c>
      <c r="E436" s="2" t="s">
        <v>25</v>
      </c>
      <c r="F436" s="2">
        <v>23327</v>
      </c>
      <c r="G436" s="2">
        <v>15730</v>
      </c>
    </row>
    <row r="437" spans="1:7" x14ac:dyDescent="0.3">
      <c r="A437" s="2">
        <v>1436</v>
      </c>
      <c r="B437" s="3">
        <v>45054</v>
      </c>
      <c r="C437" s="2" t="s">
        <v>11</v>
      </c>
      <c r="D437" s="2" t="s">
        <v>20</v>
      </c>
      <c r="E437" s="2" t="s">
        <v>22</v>
      </c>
      <c r="F437" s="2">
        <v>44537</v>
      </c>
      <c r="G437" s="2">
        <v>29467</v>
      </c>
    </row>
    <row r="438" spans="1:7" x14ac:dyDescent="0.3">
      <c r="A438" s="2">
        <v>1437</v>
      </c>
      <c r="B438" s="3">
        <v>45023</v>
      </c>
      <c r="C438" s="2" t="s">
        <v>16</v>
      </c>
      <c r="D438" s="2" t="s">
        <v>20</v>
      </c>
      <c r="E438" s="2" t="s">
        <v>22</v>
      </c>
      <c r="F438" s="2">
        <v>36370</v>
      </c>
      <c r="G438" s="2">
        <v>27221</v>
      </c>
    </row>
    <row r="439" spans="1:7" x14ac:dyDescent="0.3">
      <c r="A439" s="2">
        <v>1438</v>
      </c>
      <c r="B439" s="3">
        <v>45182</v>
      </c>
      <c r="C439" s="2" t="s">
        <v>13</v>
      </c>
      <c r="D439" s="2" t="s">
        <v>19</v>
      </c>
      <c r="E439" s="2" t="s">
        <v>23</v>
      </c>
      <c r="F439" s="2">
        <v>6581</v>
      </c>
      <c r="G439" s="2">
        <v>5897</v>
      </c>
    </row>
    <row r="440" spans="1:7" x14ac:dyDescent="0.3">
      <c r="A440" s="2">
        <v>1439</v>
      </c>
      <c r="B440" s="3">
        <v>44994</v>
      </c>
      <c r="C440" s="2" t="s">
        <v>16</v>
      </c>
      <c r="D440" s="2" t="s">
        <v>18</v>
      </c>
      <c r="E440" s="2" t="s">
        <v>25</v>
      </c>
      <c r="F440" s="2">
        <v>76612</v>
      </c>
      <c r="G440" s="2">
        <v>61663</v>
      </c>
    </row>
    <row r="441" spans="1:7" x14ac:dyDescent="0.3">
      <c r="A441" s="2">
        <v>1440</v>
      </c>
      <c r="B441" s="3">
        <v>45321</v>
      </c>
      <c r="C441" s="2" t="s">
        <v>8</v>
      </c>
      <c r="D441" s="2" t="s">
        <v>19</v>
      </c>
      <c r="E441" s="2" t="s">
        <v>23</v>
      </c>
      <c r="F441" s="2">
        <v>13851</v>
      </c>
      <c r="G441" s="2">
        <v>8367</v>
      </c>
    </row>
    <row r="442" spans="1:7" x14ac:dyDescent="0.3">
      <c r="A442" s="2">
        <v>1441</v>
      </c>
      <c r="B442" s="3">
        <v>44957</v>
      </c>
      <c r="C442" s="2" t="s">
        <v>16</v>
      </c>
      <c r="D442" s="2" t="s">
        <v>20</v>
      </c>
      <c r="E442" s="2" t="s">
        <v>23</v>
      </c>
      <c r="F442" s="2">
        <v>59451</v>
      </c>
      <c r="G442" s="2">
        <v>43225</v>
      </c>
    </row>
    <row r="443" spans="1:7" x14ac:dyDescent="0.3">
      <c r="A443" s="2">
        <v>1442</v>
      </c>
      <c r="B443" s="3">
        <v>45254</v>
      </c>
      <c r="C443" s="2" t="s">
        <v>11</v>
      </c>
      <c r="D443" s="2" t="s">
        <v>17</v>
      </c>
      <c r="E443" s="2" t="s">
        <v>25</v>
      </c>
      <c r="F443" s="2">
        <v>15957</v>
      </c>
      <c r="G443" s="2">
        <v>11057</v>
      </c>
    </row>
    <row r="444" spans="1:7" x14ac:dyDescent="0.3">
      <c r="A444" s="2">
        <v>1443</v>
      </c>
      <c r="B444" s="3">
        <v>45031</v>
      </c>
      <c r="C444" s="2" t="s">
        <v>15</v>
      </c>
      <c r="D444" s="2" t="s">
        <v>20</v>
      </c>
      <c r="E444" s="2" t="s">
        <v>24</v>
      </c>
      <c r="F444" s="2">
        <v>13665</v>
      </c>
      <c r="G444" s="2">
        <v>9470</v>
      </c>
    </row>
    <row r="445" spans="1:7" x14ac:dyDescent="0.3">
      <c r="A445" s="2">
        <v>1444</v>
      </c>
      <c r="B445" s="3">
        <v>45360</v>
      </c>
      <c r="C445" s="2" t="s">
        <v>12</v>
      </c>
      <c r="D445" s="2" t="s">
        <v>19</v>
      </c>
      <c r="E445" s="2" t="s">
        <v>21</v>
      </c>
      <c r="F445" s="2">
        <v>16300</v>
      </c>
      <c r="G445" s="2">
        <v>14301</v>
      </c>
    </row>
    <row r="446" spans="1:7" x14ac:dyDescent="0.3">
      <c r="A446" s="2">
        <v>1445</v>
      </c>
      <c r="B446" s="3">
        <v>45240</v>
      </c>
      <c r="C446" s="2" t="s">
        <v>13</v>
      </c>
      <c r="D446" s="2" t="s">
        <v>19</v>
      </c>
      <c r="E446" s="2" t="s">
        <v>25</v>
      </c>
      <c r="F446" s="2">
        <v>28022</v>
      </c>
      <c r="G446" s="2">
        <v>17817</v>
      </c>
    </row>
    <row r="447" spans="1:7" x14ac:dyDescent="0.3">
      <c r="A447" s="2">
        <v>1446</v>
      </c>
      <c r="B447" s="3">
        <v>45286</v>
      </c>
      <c r="C447" s="2" t="s">
        <v>9</v>
      </c>
      <c r="D447" s="2" t="s">
        <v>17</v>
      </c>
      <c r="E447" s="2" t="s">
        <v>24</v>
      </c>
      <c r="F447" s="2">
        <v>50443</v>
      </c>
      <c r="G447" s="2">
        <v>38180</v>
      </c>
    </row>
    <row r="448" spans="1:7" x14ac:dyDescent="0.3">
      <c r="A448" s="2">
        <v>1447</v>
      </c>
      <c r="B448" s="3">
        <v>45296</v>
      </c>
      <c r="C448" s="2" t="s">
        <v>7</v>
      </c>
      <c r="D448" s="2" t="s">
        <v>17</v>
      </c>
      <c r="E448" s="2" t="s">
        <v>25</v>
      </c>
      <c r="F448" s="2">
        <v>21637</v>
      </c>
      <c r="G448" s="2">
        <v>17849</v>
      </c>
    </row>
    <row r="449" spans="1:7" x14ac:dyDescent="0.3">
      <c r="A449" s="2">
        <v>1448</v>
      </c>
      <c r="B449" s="3">
        <v>45302</v>
      </c>
      <c r="C449" s="2" t="s">
        <v>8</v>
      </c>
      <c r="D449" s="2" t="s">
        <v>19</v>
      </c>
      <c r="E449" s="2" t="s">
        <v>25</v>
      </c>
      <c r="F449" s="2">
        <v>61272</v>
      </c>
      <c r="G449" s="2">
        <v>41762</v>
      </c>
    </row>
    <row r="450" spans="1:7" x14ac:dyDescent="0.3">
      <c r="A450" s="2">
        <v>1449</v>
      </c>
      <c r="B450" s="3">
        <v>45291</v>
      </c>
      <c r="C450" s="2" t="s">
        <v>13</v>
      </c>
      <c r="D450" s="2" t="s">
        <v>19</v>
      </c>
      <c r="E450" s="2" t="s">
        <v>24</v>
      </c>
      <c r="F450" s="2">
        <v>64663</v>
      </c>
      <c r="G450" s="2">
        <v>48706</v>
      </c>
    </row>
    <row r="451" spans="1:7" x14ac:dyDescent="0.3">
      <c r="A451" s="2">
        <v>1450</v>
      </c>
      <c r="B451" s="3">
        <v>45366</v>
      </c>
      <c r="C451" s="2" t="s">
        <v>13</v>
      </c>
      <c r="D451" s="2" t="s">
        <v>17</v>
      </c>
      <c r="E451" s="2" t="s">
        <v>25</v>
      </c>
      <c r="F451" s="2">
        <v>25618</v>
      </c>
      <c r="G451" s="2">
        <v>17331</v>
      </c>
    </row>
    <row r="452" spans="1:7" x14ac:dyDescent="0.3">
      <c r="A452" s="2">
        <v>1451</v>
      </c>
      <c r="B452" s="3">
        <v>45220</v>
      </c>
      <c r="C452" s="2" t="s">
        <v>8</v>
      </c>
      <c r="D452" s="2" t="s">
        <v>17</v>
      </c>
      <c r="E452" s="2" t="s">
        <v>23</v>
      </c>
      <c r="F452" s="2">
        <v>5336</v>
      </c>
      <c r="G452" s="2">
        <v>3272</v>
      </c>
    </row>
    <row r="453" spans="1:7" x14ac:dyDescent="0.3">
      <c r="A453" s="2">
        <v>1452</v>
      </c>
      <c r="B453" s="3">
        <v>45052</v>
      </c>
      <c r="C453" s="2" t="s">
        <v>9</v>
      </c>
      <c r="D453" s="2" t="s">
        <v>18</v>
      </c>
      <c r="E453" s="2" t="s">
        <v>25</v>
      </c>
      <c r="F453" s="2">
        <v>55197</v>
      </c>
      <c r="G453" s="2">
        <v>48356</v>
      </c>
    </row>
    <row r="454" spans="1:7" x14ac:dyDescent="0.3">
      <c r="A454" s="2">
        <v>1453</v>
      </c>
      <c r="B454" s="3">
        <v>45366</v>
      </c>
      <c r="C454" s="2" t="s">
        <v>9</v>
      </c>
      <c r="D454" s="2" t="s">
        <v>18</v>
      </c>
      <c r="E454" s="2" t="s">
        <v>21</v>
      </c>
      <c r="F454" s="2">
        <v>47179</v>
      </c>
      <c r="G454" s="2">
        <v>31821</v>
      </c>
    </row>
    <row r="455" spans="1:7" x14ac:dyDescent="0.3">
      <c r="A455" s="2">
        <v>1454</v>
      </c>
      <c r="B455" s="3">
        <v>45090</v>
      </c>
      <c r="C455" s="2" t="s">
        <v>7</v>
      </c>
      <c r="D455" s="2" t="s">
        <v>19</v>
      </c>
      <c r="E455" s="2" t="s">
        <v>23</v>
      </c>
      <c r="F455" s="2">
        <v>53864</v>
      </c>
      <c r="G455" s="2">
        <v>34247</v>
      </c>
    </row>
    <row r="456" spans="1:7" x14ac:dyDescent="0.3">
      <c r="A456" s="2">
        <v>1455</v>
      </c>
      <c r="B456" s="3">
        <v>44953</v>
      </c>
      <c r="C456" s="2" t="s">
        <v>15</v>
      </c>
      <c r="D456" s="2" t="s">
        <v>17</v>
      </c>
      <c r="E456" s="2" t="s">
        <v>23</v>
      </c>
      <c r="F456" s="2">
        <v>11019</v>
      </c>
      <c r="G456" s="2">
        <v>9765</v>
      </c>
    </row>
    <row r="457" spans="1:7" x14ac:dyDescent="0.3">
      <c r="A457" s="2">
        <v>1456</v>
      </c>
      <c r="B457" s="3">
        <v>45165</v>
      </c>
      <c r="C457" s="2" t="s">
        <v>7</v>
      </c>
      <c r="D457" s="2" t="s">
        <v>20</v>
      </c>
      <c r="E457" s="2" t="s">
        <v>25</v>
      </c>
      <c r="F457" s="2">
        <v>16322</v>
      </c>
      <c r="G457" s="2">
        <v>12501</v>
      </c>
    </row>
    <row r="458" spans="1:7" x14ac:dyDescent="0.3">
      <c r="A458" s="2">
        <v>1457</v>
      </c>
      <c r="B458" s="3"/>
      <c r="C458" s="2" t="s">
        <v>12</v>
      </c>
      <c r="D458" s="2" t="s">
        <v>20</v>
      </c>
      <c r="E458" s="2" t="s">
        <v>23</v>
      </c>
      <c r="F458" s="2">
        <v>44834</v>
      </c>
      <c r="G458" s="2">
        <v>36847</v>
      </c>
    </row>
    <row r="459" spans="1:7" x14ac:dyDescent="0.3">
      <c r="A459" s="2">
        <v>1458</v>
      </c>
      <c r="B459" s="3">
        <v>45115</v>
      </c>
      <c r="C459" s="2" t="s">
        <v>13</v>
      </c>
      <c r="D459" s="2" t="s">
        <v>18</v>
      </c>
      <c r="E459" s="2" t="s">
        <v>21</v>
      </c>
      <c r="F459" s="2">
        <v>76638</v>
      </c>
      <c r="G459" s="2">
        <v>63467</v>
      </c>
    </row>
    <row r="460" spans="1:7" x14ac:dyDescent="0.3">
      <c r="A460" s="2">
        <v>1459</v>
      </c>
      <c r="B460" s="3">
        <v>44930</v>
      </c>
      <c r="C460" s="2" t="s">
        <v>16</v>
      </c>
      <c r="D460" s="2" t="s">
        <v>19</v>
      </c>
      <c r="E460" s="2" t="s">
        <v>21</v>
      </c>
      <c r="F460" s="2">
        <v>75981</v>
      </c>
      <c r="G460" s="2">
        <v>53485</v>
      </c>
    </row>
    <row r="461" spans="1:7" x14ac:dyDescent="0.3">
      <c r="A461" s="2">
        <v>1460</v>
      </c>
      <c r="B461" s="3">
        <v>45376</v>
      </c>
      <c r="C461" s="2" t="s">
        <v>9</v>
      </c>
      <c r="D461" s="2" t="s">
        <v>20</v>
      </c>
      <c r="E461" s="2" t="s">
        <v>22</v>
      </c>
      <c r="F461" s="2">
        <v>54319</v>
      </c>
      <c r="G461" s="2">
        <v>46426</v>
      </c>
    </row>
    <row r="462" spans="1:7" x14ac:dyDescent="0.3">
      <c r="A462" s="2">
        <v>1461</v>
      </c>
      <c r="B462" s="3">
        <v>44980</v>
      </c>
      <c r="C462" s="2" t="s">
        <v>12</v>
      </c>
      <c r="D462" s="2" t="s">
        <v>17</v>
      </c>
      <c r="E462" s="2" t="s">
        <v>24</v>
      </c>
      <c r="F462" s="2">
        <v>69491</v>
      </c>
      <c r="G462" s="2">
        <v>61732</v>
      </c>
    </row>
    <row r="463" spans="1:7" x14ac:dyDescent="0.3">
      <c r="A463" s="2">
        <v>1462</v>
      </c>
      <c r="B463" s="3">
        <v>44999</v>
      </c>
      <c r="C463" s="2" t="s">
        <v>7</v>
      </c>
      <c r="D463" s="2" t="s">
        <v>19</v>
      </c>
      <c r="E463" s="2" t="s">
        <v>22</v>
      </c>
      <c r="F463" s="2">
        <v>35339</v>
      </c>
      <c r="G463" s="2">
        <v>30716</v>
      </c>
    </row>
    <row r="464" spans="1:7" x14ac:dyDescent="0.3">
      <c r="A464" s="2">
        <v>1463</v>
      </c>
      <c r="B464" s="3">
        <v>45285</v>
      </c>
      <c r="C464" s="2" t="s">
        <v>10</v>
      </c>
      <c r="D464" s="2" t="s">
        <v>18</v>
      </c>
      <c r="E464" s="2" t="s">
        <v>22</v>
      </c>
      <c r="F464" s="2">
        <v>17527</v>
      </c>
      <c r="G464" s="2">
        <v>13173</v>
      </c>
    </row>
    <row r="465" spans="1:7" x14ac:dyDescent="0.3">
      <c r="A465" s="2">
        <v>1464</v>
      </c>
      <c r="B465" s="3">
        <v>45128</v>
      </c>
      <c r="C465" s="2" t="s">
        <v>8</v>
      </c>
      <c r="D465" s="2" t="s">
        <v>19</v>
      </c>
      <c r="E465" s="2" t="s">
        <v>24</v>
      </c>
      <c r="F465" s="2">
        <v>22132</v>
      </c>
      <c r="G465" s="2">
        <v>14851</v>
      </c>
    </row>
    <row r="466" spans="1:7" x14ac:dyDescent="0.3">
      <c r="A466" s="2">
        <v>1465</v>
      </c>
      <c r="B466" s="3">
        <v>45088</v>
      </c>
      <c r="C466" s="2" t="s">
        <v>16</v>
      </c>
      <c r="D466" s="2" t="s">
        <v>20</v>
      </c>
      <c r="E466" s="2" t="s">
        <v>25</v>
      </c>
      <c r="F466" s="2">
        <v>64343</v>
      </c>
      <c r="G466" s="2">
        <v>43855</v>
      </c>
    </row>
    <row r="467" spans="1:7" x14ac:dyDescent="0.3">
      <c r="A467" s="2">
        <v>1466</v>
      </c>
      <c r="B467" s="3">
        <v>45030</v>
      </c>
      <c r="C467" s="2" t="s">
        <v>15</v>
      </c>
      <c r="D467" s="2" t="s">
        <v>19</v>
      </c>
      <c r="E467" s="2" t="s">
        <v>21</v>
      </c>
      <c r="F467" s="2">
        <v>18848</v>
      </c>
      <c r="G467" s="2">
        <v>12238</v>
      </c>
    </row>
    <row r="468" spans="1:7" x14ac:dyDescent="0.3">
      <c r="A468" s="2">
        <v>1467</v>
      </c>
      <c r="B468" s="3">
        <v>45135</v>
      </c>
      <c r="C468" s="2" t="s">
        <v>8</v>
      </c>
      <c r="D468" s="2" t="s">
        <v>20</v>
      </c>
      <c r="E468" s="2" t="s">
        <v>21</v>
      </c>
      <c r="F468" s="2">
        <v>64233</v>
      </c>
      <c r="G468" s="2">
        <v>44480</v>
      </c>
    </row>
    <row r="469" spans="1:7" x14ac:dyDescent="0.3">
      <c r="A469" s="2">
        <v>1468</v>
      </c>
      <c r="B469" s="3">
        <v>44988</v>
      </c>
      <c r="C469" s="2" t="s">
        <v>8</v>
      </c>
      <c r="D469" s="2" t="s">
        <v>17</v>
      </c>
      <c r="E469" s="2" t="s">
        <v>25</v>
      </c>
      <c r="F469" s="2">
        <v>10286</v>
      </c>
      <c r="G469" s="2">
        <v>6835</v>
      </c>
    </row>
    <row r="470" spans="1:7" x14ac:dyDescent="0.3">
      <c r="A470" s="2">
        <v>1469</v>
      </c>
      <c r="B470" s="3">
        <v>45002</v>
      </c>
      <c r="C470" s="2" t="s">
        <v>8</v>
      </c>
      <c r="D470" s="2" t="s">
        <v>17</v>
      </c>
      <c r="E470" s="2" t="s">
        <v>25</v>
      </c>
      <c r="F470" s="2">
        <v>56936</v>
      </c>
      <c r="G470" s="2">
        <v>42931</v>
      </c>
    </row>
    <row r="471" spans="1:7" x14ac:dyDescent="0.3">
      <c r="A471" s="2">
        <v>1470</v>
      </c>
      <c r="B471" s="3">
        <v>45060</v>
      </c>
      <c r="C471" s="2" t="s">
        <v>15</v>
      </c>
      <c r="D471" s="2" t="s">
        <v>19</v>
      </c>
      <c r="E471" s="2" t="s">
        <v>24</v>
      </c>
      <c r="F471" s="2">
        <v>64270</v>
      </c>
      <c r="G471" s="2">
        <v>49281</v>
      </c>
    </row>
    <row r="472" spans="1:7" x14ac:dyDescent="0.3">
      <c r="A472" s="2">
        <v>1471</v>
      </c>
      <c r="B472" s="3">
        <v>44975</v>
      </c>
      <c r="C472" s="2" t="s">
        <v>14</v>
      </c>
      <c r="D472" s="2" t="s">
        <v>19</v>
      </c>
      <c r="E472" s="2" t="s">
        <v>21</v>
      </c>
      <c r="F472" s="2">
        <v>20919</v>
      </c>
      <c r="G472" s="2">
        <v>12626</v>
      </c>
    </row>
    <row r="473" spans="1:7" x14ac:dyDescent="0.3">
      <c r="A473" s="2">
        <v>1472</v>
      </c>
      <c r="B473" s="3">
        <v>45040</v>
      </c>
      <c r="C473" s="2" t="s">
        <v>15</v>
      </c>
      <c r="D473" s="2" t="s">
        <v>17</v>
      </c>
      <c r="E473" s="2" t="s">
        <v>24</v>
      </c>
      <c r="F473" s="2">
        <v>53790</v>
      </c>
      <c r="G473" s="2">
        <v>43348</v>
      </c>
    </row>
    <row r="474" spans="1:7" x14ac:dyDescent="0.3">
      <c r="A474" s="2">
        <v>1473</v>
      </c>
      <c r="B474" s="3">
        <v>44970</v>
      </c>
      <c r="C474" s="2" t="s">
        <v>13</v>
      </c>
      <c r="D474" s="2" t="s">
        <v>20</v>
      </c>
      <c r="E474" s="2" t="s">
        <v>22</v>
      </c>
      <c r="F474" s="2">
        <v>7857</v>
      </c>
      <c r="G474" s="2">
        <v>7064</v>
      </c>
    </row>
    <row r="475" spans="1:7" x14ac:dyDescent="0.3">
      <c r="A475" s="2">
        <v>1474</v>
      </c>
      <c r="B475" s="3">
        <v>45257</v>
      </c>
      <c r="C475" s="2" t="s">
        <v>14</v>
      </c>
      <c r="D475" s="2" t="s">
        <v>17</v>
      </c>
      <c r="E475" s="2" t="s">
        <v>22</v>
      </c>
      <c r="F475" s="2">
        <v>48456</v>
      </c>
      <c r="G475" s="2">
        <v>30854</v>
      </c>
    </row>
    <row r="476" spans="1:7" x14ac:dyDescent="0.3">
      <c r="A476" s="2">
        <v>1475</v>
      </c>
      <c r="B476" s="3">
        <v>44952</v>
      </c>
      <c r="C476" s="2" t="s">
        <v>15</v>
      </c>
      <c r="D476" s="2" t="s">
        <v>18</v>
      </c>
      <c r="E476" s="2" t="s">
        <v>24</v>
      </c>
      <c r="F476" s="2">
        <v>70028</v>
      </c>
      <c r="G476" s="2">
        <v>42636</v>
      </c>
    </row>
    <row r="477" spans="1:7" x14ac:dyDescent="0.3">
      <c r="A477" s="2">
        <v>1476</v>
      </c>
      <c r="B477" s="3">
        <v>45015</v>
      </c>
      <c r="C477" s="2" t="s">
        <v>10</v>
      </c>
      <c r="D477" s="2" t="s">
        <v>17</v>
      </c>
      <c r="E477" s="2" t="s">
        <v>21</v>
      </c>
      <c r="F477" s="2">
        <v>41042</v>
      </c>
      <c r="G477" s="2">
        <v>28070</v>
      </c>
    </row>
    <row r="478" spans="1:7" x14ac:dyDescent="0.3">
      <c r="A478" s="2">
        <v>1477</v>
      </c>
      <c r="B478" s="3">
        <v>44944</v>
      </c>
      <c r="C478" s="2" t="s">
        <v>13</v>
      </c>
      <c r="D478" s="2" t="s">
        <v>17</v>
      </c>
      <c r="E478" s="2" t="s">
        <v>25</v>
      </c>
      <c r="F478" s="2">
        <v>70390</v>
      </c>
      <c r="G478" s="2">
        <v>50934</v>
      </c>
    </row>
    <row r="479" spans="1:7" x14ac:dyDescent="0.3">
      <c r="A479" s="2">
        <v>1478</v>
      </c>
      <c r="B479" s="3">
        <v>44958</v>
      </c>
      <c r="C479" s="2" t="s">
        <v>8</v>
      </c>
      <c r="D479" s="2" t="s">
        <v>20</v>
      </c>
      <c r="E479" s="2" t="s">
        <v>24</v>
      </c>
      <c r="F479" s="2">
        <v>22987</v>
      </c>
      <c r="G479" s="2">
        <v>16683</v>
      </c>
    </row>
    <row r="480" spans="1:7" x14ac:dyDescent="0.3">
      <c r="A480" s="2">
        <v>1479</v>
      </c>
      <c r="B480" s="3">
        <v>45335</v>
      </c>
      <c r="C480" s="2" t="s">
        <v>11</v>
      </c>
      <c r="D480" s="2" t="s">
        <v>17</v>
      </c>
      <c r="E480" s="2" t="s">
        <v>23</v>
      </c>
      <c r="F480" s="2">
        <v>7559</v>
      </c>
      <c r="G480" s="2">
        <v>6779</v>
      </c>
    </row>
    <row r="481" spans="1:7" x14ac:dyDescent="0.3">
      <c r="A481" s="2">
        <v>1480</v>
      </c>
      <c r="B481" s="3">
        <v>45110</v>
      </c>
      <c r="C481" s="2" t="s">
        <v>14</v>
      </c>
      <c r="D481" s="2" t="s">
        <v>18</v>
      </c>
      <c r="E481" s="2" t="s">
        <v>25</v>
      </c>
      <c r="F481" s="2">
        <v>79141</v>
      </c>
      <c r="G481" s="2">
        <v>59412</v>
      </c>
    </row>
    <row r="482" spans="1:7" x14ac:dyDescent="0.3">
      <c r="A482" s="2">
        <v>1481</v>
      </c>
      <c r="B482" s="3">
        <v>45019</v>
      </c>
      <c r="C482" s="2" t="s">
        <v>9</v>
      </c>
      <c r="D482" s="2" t="s">
        <v>20</v>
      </c>
      <c r="E482" s="2" t="s">
        <v>23</v>
      </c>
      <c r="F482" s="2">
        <v>33707</v>
      </c>
      <c r="G482" s="2">
        <v>20520</v>
      </c>
    </row>
    <row r="483" spans="1:7" x14ac:dyDescent="0.3">
      <c r="A483" s="2">
        <v>1482</v>
      </c>
      <c r="B483" s="3">
        <v>45070</v>
      </c>
      <c r="C483" s="2" t="s">
        <v>9</v>
      </c>
      <c r="D483" s="2" t="s">
        <v>18</v>
      </c>
      <c r="E483" s="2" t="s">
        <v>23</v>
      </c>
      <c r="F483" s="2">
        <v>51849</v>
      </c>
      <c r="G483" s="2">
        <v>43037</v>
      </c>
    </row>
    <row r="484" spans="1:7" x14ac:dyDescent="0.3">
      <c r="A484" s="2">
        <v>1483</v>
      </c>
      <c r="B484" s="3">
        <v>45008</v>
      </c>
      <c r="C484" s="2" t="s">
        <v>8</v>
      </c>
      <c r="D484" s="2" t="s">
        <v>17</v>
      </c>
      <c r="E484" s="2" t="s">
        <v>21</v>
      </c>
      <c r="F484" s="2">
        <v>39934</v>
      </c>
      <c r="G484" s="2">
        <v>30354</v>
      </c>
    </row>
    <row r="485" spans="1:7" x14ac:dyDescent="0.3">
      <c r="A485" s="2">
        <v>1484</v>
      </c>
      <c r="B485" s="3">
        <v>45304</v>
      </c>
      <c r="C485" s="2" t="s">
        <v>9</v>
      </c>
      <c r="D485" s="2" t="s">
        <v>17</v>
      </c>
      <c r="E485" s="2" t="s">
        <v>23</v>
      </c>
      <c r="F485" s="2">
        <v>55911</v>
      </c>
      <c r="G485" s="2">
        <v>39497</v>
      </c>
    </row>
    <row r="486" spans="1:7" x14ac:dyDescent="0.3">
      <c r="A486" s="2">
        <v>1485</v>
      </c>
      <c r="B486" s="3">
        <v>45359</v>
      </c>
      <c r="C486" s="2" t="s">
        <v>15</v>
      </c>
      <c r="D486" s="2" t="s">
        <v>17</v>
      </c>
      <c r="E486" s="2" t="s">
        <v>21</v>
      </c>
      <c r="F486" s="2">
        <v>46681</v>
      </c>
      <c r="G486" s="2">
        <v>39299</v>
      </c>
    </row>
    <row r="487" spans="1:7" x14ac:dyDescent="0.3">
      <c r="A487" s="2">
        <v>1486</v>
      </c>
      <c r="B487" s="3">
        <v>45229</v>
      </c>
      <c r="C487" s="2" t="s">
        <v>9</v>
      </c>
      <c r="D487" s="2" t="s">
        <v>20</v>
      </c>
      <c r="E487" s="2" t="s">
        <v>23</v>
      </c>
      <c r="F487" s="2">
        <v>78873</v>
      </c>
      <c r="G487" s="2">
        <v>50686</v>
      </c>
    </row>
    <row r="488" spans="1:7" x14ac:dyDescent="0.3">
      <c r="A488" s="2">
        <v>1487</v>
      </c>
      <c r="B488" s="3">
        <v>45355</v>
      </c>
      <c r="C488" s="2" t="s">
        <v>14</v>
      </c>
      <c r="D488" s="2" t="s">
        <v>20</v>
      </c>
      <c r="E488" s="2" t="s">
        <v>21</v>
      </c>
      <c r="F488" s="2">
        <v>69282</v>
      </c>
      <c r="G488" s="2">
        <v>42358</v>
      </c>
    </row>
    <row r="489" spans="1:7" x14ac:dyDescent="0.3">
      <c r="A489" s="2">
        <v>1488</v>
      </c>
      <c r="B489" s="3">
        <v>45235</v>
      </c>
      <c r="C489" s="2" t="s">
        <v>12</v>
      </c>
      <c r="D489" s="2" t="s">
        <v>19</v>
      </c>
      <c r="E489" s="2" t="s">
        <v>23</v>
      </c>
      <c r="F489" s="2">
        <v>67650</v>
      </c>
      <c r="G489" s="2">
        <v>40603</v>
      </c>
    </row>
    <row r="490" spans="1:7" x14ac:dyDescent="0.3">
      <c r="A490" s="2">
        <v>1489</v>
      </c>
      <c r="B490" s="3">
        <v>45030</v>
      </c>
      <c r="C490" s="2" t="s">
        <v>15</v>
      </c>
      <c r="D490" s="2" t="s">
        <v>20</v>
      </c>
      <c r="E490" s="2" t="s">
        <v>21</v>
      </c>
      <c r="F490" s="2">
        <v>47413</v>
      </c>
      <c r="G490" s="2">
        <v>29294</v>
      </c>
    </row>
    <row r="491" spans="1:7" x14ac:dyDescent="0.3">
      <c r="A491" s="2">
        <v>1490</v>
      </c>
      <c r="B491" s="3">
        <v>45287</v>
      </c>
      <c r="C491" s="2" t="s">
        <v>15</v>
      </c>
      <c r="D491" s="2" t="s">
        <v>19</v>
      </c>
      <c r="E491" s="2" t="s">
        <v>23</v>
      </c>
      <c r="F491" s="2">
        <v>52826</v>
      </c>
      <c r="G491" s="2">
        <v>46918</v>
      </c>
    </row>
    <row r="492" spans="1:7" x14ac:dyDescent="0.3">
      <c r="A492" s="2">
        <v>1491</v>
      </c>
      <c r="B492" s="3">
        <v>45266</v>
      </c>
      <c r="C492" s="2" t="s">
        <v>16</v>
      </c>
      <c r="D492" s="2" t="s">
        <v>19</v>
      </c>
      <c r="E492" s="2" t="s">
        <v>25</v>
      </c>
      <c r="F492" s="2">
        <v>44552</v>
      </c>
      <c r="G492" s="2">
        <v>31042</v>
      </c>
    </row>
    <row r="493" spans="1:7" x14ac:dyDescent="0.3">
      <c r="A493" s="2">
        <v>1492</v>
      </c>
      <c r="B493" s="3">
        <v>45301</v>
      </c>
      <c r="C493" s="2" t="s">
        <v>16</v>
      </c>
      <c r="D493" s="2" t="s">
        <v>18</v>
      </c>
      <c r="E493" s="2" t="s">
        <v>25</v>
      </c>
      <c r="F493" s="2">
        <v>27833</v>
      </c>
      <c r="G493" s="2">
        <v>22604</v>
      </c>
    </row>
    <row r="494" spans="1:7" x14ac:dyDescent="0.3">
      <c r="A494" s="2">
        <v>1493</v>
      </c>
      <c r="B494" s="3">
        <v>45241</v>
      </c>
      <c r="C494" s="2" t="s">
        <v>10</v>
      </c>
      <c r="D494" s="2" t="s">
        <v>17</v>
      </c>
      <c r="E494" s="2" t="s">
        <v>23</v>
      </c>
      <c r="F494" s="2">
        <v>27983</v>
      </c>
      <c r="G494" s="2">
        <v>19966</v>
      </c>
    </row>
    <row r="495" spans="1:7" x14ac:dyDescent="0.3">
      <c r="A495" s="2">
        <v>1494</v>
      </c>
      <c r="B495" s="3">
        <v>45077</v>
      </c>
      <c r="C495" s="2" t="s">
        <v>15</v>
      </c>
      <c r="D495" s="2" t="s">
        <v>17</v>
      </c>
      <c r="E495" s="2" t="s">
        <v>22</v>
      </c>
      <c r="F495" s="2">
        <v>56327</v>
      </c>
      <c r="G495" s="2">
        <v>48172</v>
      </c>
    </row>
    <row r="496" spans="1:7" x14ac:dyDescent="0.3">
      <c r="A496" s="2">
        <v>1495</v>
      </c>
      <c r="B496" s="3">
        <v>45217</v>
      </c>
      <c r="C496" s="2" t="s">
        <v>9</v>
      </c>
      <c r="D496" s="2" t="s">
        <v>17</v>
      </c>
      <c r="E496" s="2" t="s">
        <v>23</v>
      </c>
      <c r="F496" s="2">
        <v>46709</v>
      </c>
      <c r="G496" s="2">
        <v>40931</v>
      </c>
    </row>
    <row r="497" spans="1:7" x14ac:dyDescent="0.3">
      <c r="A497" s="2">
        <v>1496</v>
      </c>
      <c r="B497" s="3">
        <v>45040</v>
      </c>
      <c r="C497" s="2" t="s">
        <v>13</v>
      </c>
      <c r="D497" s="2" t="s">
        <v>19</v>
      </c>
      <c r="E497" s="2" t="s">
        <v>24</v>
      </c>
      <c r="F497" s="2">
        <v>23434</v>
      </c>
      <c r="G497" s="2">
        <v>16388</v>
      </c>
    </row>
    <row r="498" spans="1:7" x14ac:dyDescent="0.3">
      <c r="A498" s="2">
        <v>1497</v>
      </c>
      <c r="B498" s="3">
        <v>45104</v>
      </c>
      <c r="C498" s="2" t="s">
        <v>10</v>
      </c>
      <c r="D498" s="2" t="s">
        <v>17</v>
      </c>
      <c r="E498" s="2" t="s">
        <v>22</v>
      </c>
      <c r="F498" s="2">
        <v>49007</v>
      </c>
      <c r="G498" s="2">
        <v>35970</v>
      </c>
    </row>
    <row r="499" spans="1:7" x14ac:dyDescent="0.3">
      <c r="A499" s="2">
        <v>1498</v>
      </c>
      <c r="B499" s="3">
        <v>45054</v>
      </c>
      <c r="C499" s="2" t="s">
        <v>8</v>
      </c>
      <c r="D499" s="2" t="s">
        <v>20</v>
      </c>
      <c r="E499" s="2" t="s">
        <v>25</v>
      </c>
      <c r="F499" s="2">
        <v>19160</v>
      </c>
      <c r="G499" s="2">
        <v>15636</v>
      </c>
    </row>
    <row r="500" spans="1:7" x14ac:dyDescent="0.3">
      <c r="A500" s="2">
        <v>1499</v>
      </c>
      <c r="B500" s="3"/>
      <c r="C500" s="2" t="s">
        <v>14</v>
      </c>
      <c r="D500" s="2" t="s">
        <v>18</v>
      </c>
      <c r="E500" s="2" t="s">
        <v>21</v>
      </c>
      <c r="F500" s="2">
        <v>59266</v>
      </c>
      <c r="G500" s="2">
        <v>44326</v>
      </c>
    </row>
    <row r="501" spans="1:7" x14ac:dyDescent="0.3">
      <c r="A501" s="2">
        <v>1500</v>
      </c>
      <c r="B501" s="3">
        <v>45206</v>
      </c>
      <c r="C501" s="2" t="s">
        <v>16</v>
      </c>
      <c r="D501" s="2" t="s">
        <v>19</v>
      </c>
      <c r="E501" s="2" t="s">
        <v>24</v>
      </c>
      <c r="F501" s="2">
        <v>34567</v>
      </c>
      <c r="G501" s="2">
        <v>22426</v>
      </c>
    </row>
    <row r="502" spans="1:7" x14ac:dyDescent="0.3">
      <c r="A502" s="2">
        <v>1362</v>
      </c>
      <c r="B502" s="3">
        <v>45070</v>
      </c>
      <c r="C502" s="2" t="s">
        <v>11</v>
      </c>
      <c r="D502" s="2" t="s">
        <v>19</v>
      </c>
      <c r="E502" s="2" t="s">
        <v>21</v>
      </c>
      <c r="F502" s="2">
        <v>46220</v>
      </c>
      <c r="G502" s="2">
        <v>27949</v>
      </c>
    </row>
    <row r="503" spans="1:7" x14ac:dyDescent="0.3">
      <c r="A503" s="2">
        <v>1074</v>
      </c>
      <c r="B503" s="3">
        <v>45164</v>
      </c>
      <c r="C503" s="2" t="s">
        <v>9</v>
      </c>
      <c r="D503" s="2" t="s">
        <v>17</v>
      </c>
      <c r="E503" s="2" t="s">
        <v>22</v>
      </c>
      <c r="F503" s="2">
        <v>64829</v>
      </c>
      <c r="G503" s="2">
        <v>41490</v>
      </c>
    </row>
    <row r="504" spans="1:7" x14ac:dyDescent="0.3">
      <c r="A504" s="2">
        <v>1375</v>
      </c>
      <c r="B504" s="3">
        <v>45179</v>
      </c>
      <c r="C504" s="2" t="s">
        <v>15</v>
      </c>
      <c r="D504" s="2" t="s">
        <v>19</v>
      </c>
      <c r="E504" s="2" t="s">
        <v>21</v>
      </c>
      <c r="F504" s="2">
        <v>61973</v>
      </c>
      <c r="G504" s="2">
        <v>42314</v>
      </c>
    </row>
    <row r="505" spans="1:7" x14ac:dyDescent="0.3">
      <c r="A505" s="2">
        <v>1156</v>
      </c>
      <c r="B505" s="3">
        <v>45078</v>
      </c>
      <c r="C505" s="2" t="s">
        <v>10</v>
      </c>
      <c r="D505" s="2" t="s">
        <v>18</v>
      </c>
      <c r="E505" s="2" t="s">
        <v>21</v>
      </c>
      <c r="F505" s="2">
        <v>31318</v>
      </c>
      <c r="G505" s="2">
        <v>20032</v>
      </c>
    </row>
    <row r="506" spans="1:7" x14ac:dyDescent="0.3">
      <c r="A506" s="2">
        <v>1105</v>
      </c>
      <c r="B506" s="3">
        <v>45065</v>
      </c>
      <c r="C506" s="2" t="s">
        <v>7</v>
      </c>
      <c r="D506" s="2" t="s">
        <v>20</v>
      </c>
      <c r="E506" s="2" t="s">
        <v>21</v>
      </c>
      <c r="F506" s="2">
        <v>20814</v>
      </c>
      <c r="G506" s="2">
        <v>16992</v>
      </c>
    </row>
    <row r="507" spans="1:7" x14ac:dyDescent="0.3">
      <c r="A507" s="2">
        <v>1395</v>
      </c>
      <c r="B507" s="3">
        <v>44982</v>
      </c>
      <c r="C507" s="2" t="s">
        <v>15</v>
      </c>
      <c r="D507" s="2" t="s">
        <v>17</v>
      </c>
      <c r="E507" s="2" t="s">
        <v>23</v>
      </c>
      <c r="F507" s="2">
        <v>27865</v>
      </c>
      <c r="G507" s="2">
        <v>21332</v>
      </c>
    </row>
    <row r="508" spans="1:7" x14ac:dyDescent="0.3">
      <c r="A508" s="2">
        <v>1378</v>
      </c>
      <c r="B508" s="3">
        <v>45097</v>
      </c>
      <c r="C508" s="2" t="s">
        <v>13</v>
      </c>
      <c r="D508" s="2" t="s">
        <v>18</v>
      </c>
      <c r="E508" s="2" t="s">
        <v>25</v>
      </c>
      <c r="F508" s="2">
        <v>62700</v>
      </c>
      <c r="G508" s="2">
        <v>43916</v>
      </c>
    </row>
    <row r="509" spans="1:7" x14ac:dyDescent="0.3">
      <c r="A509" s="2">
        <v>1125</v>
      </c>
      <c r="B509" s="3">
        <v>44973</v>
      </c>
      <c r="C509" s="2" t="s">
        <v>14</v>
      </c>
      <c r="D509" s="2" t="s">
        <v>20</v>
      </c>
      <c r="E509" s="2" t="s">
        <v>24</v>
      </c>
      <c r="F509" s="2">
        <v>48687</v>
      </c>
      <c r="G509" s="2">
        <v>33901</v>
      </c>
    </row>
    <row r="510" spans="1:7" x14ac:dyDescent="0.3">
      <c r="A510" s="2">
        <v>1069</v>
      </c>
      <c r="B510" s="3">
        <v>45169</v>
      </c>
      <c r="C510" s="2" t="s">
        <v>15</v>
      </c>
      <c r="D510" s="2" t="s">
        <v>19</v>
      </c>
      <c r="E510" s="2" t="s">
        <v>25</v>
      </c>
      <c r="F510" s="2">
        <v>72561</v>
      </c>
      <c r="G510" s="2">
        <v>57987</v>
      </c>
    </row>
    <row r="511" spans="1:7" x14ac:dyDescent="0.3">
      <c r="A511" s="2">
        <v>1451</v>
      </c>
      <c r="B511" s="3">
        <v>45220</v>
      </c>
      <c r="C511" s="2" t="s">
        <v>8</v>
      </c>
      <c r="D511" s="2" t="s">
        <v>17</v>
      </c>
      <c r="E511" s="2" t="s">
        <v>23</v>
      </c>
      <c r="F511" s="2">
        <v>5336</v>
      </c>
      <c r="G511" s="2">
        <v>3272</v>
      </c>
    </row>
    <row r="512" spans="1:7" x14ac:dyDescent="0.3">
      <c r="A512" s="2">
        <v>1010</v>
      </c>
      <c r="B512" s="3">
        <v>45276</v>
      </c>
      <c r="C512" s="2" t="s">
        <v>8</v>
      </c>
      <c r="D512" s="2" t="s">
        <v>17</v>
      </c>
      <c r="E512" s="2" t="s">
        <v>23</v>
      </c>
      <c r="F512" s="2">
        <v>37087</v>
      </c>
      <c r="G512" s="2">
        <v>24070</v>
      </c>
    </row>
    <row r="513" spans="1:7" x14ac:dyDescent="0.3">
      <c r="A513" s="2">
        <v>1195</v>
      </c>
      <c r="B513" s="3">
        <v>44930</v>
      </c>
      <c r="C513" s="2" t="s">
        <v>12</v>
      </c>
      <c r="D513" s="2" t="s">
        <v>20</v>
      </c>
      <c r="E513" s="2" t="s">
        <v>21</v>
      </c>
      <c r="F513" s="2">
        <v>22987</v>
      </c>
      <c r="G513" s="2">
        <v>19061</v>
      </c>
    </row>
    <row r="514" spans="1:7" x14ac:dyDescent="0.3">
      <c r="A514" s="2">
        <v>1407</v>
      </c>
      <c r="B514" s="3">
        <v>45177</v>
      </c>
      <c r="C514" s="2" t="s">
        <v>15</v>
      </c>
      <c r="D514" s="2" t="s">
        <v>19</v>
      </c>
      <c r="E514" s="2" t="s">
        <v>23</v>
      </c>
      <c r="F514" s="2">
        <v>9044</v>
      </c>
      <c r="G514" s="2">
        <v>7585</v>
      </c>
    </row>
    <row r="515" spans="1:7" x14ac:dyDescent="0.3">
      <c r="A515" s="2">
        <v>1085</v>
      </c>
      <c r="B515" s="3">
        <v>45146</v>
      </c>
      <c r="C515" s="2" t="s">
        <v>15</v>
      </c>
      <c r="D515" s="2" t="s">
        <v>18</v>
      </c>
      <c r="E515" s="2" t="s">
        <v>21</v>
      </c>
      <c r="F515" s="2">
        <v>11590</v>
      </c>
      <c r="G515" s="2">
        <v>7858</v>
      </c>
    </row>
    <row r="516" spans="1:7" x14ac:dyDescent="0.3">
      <c r="A516" s="2">
        <v>1372</v>
      </c>
      <c r="B516" s="3">
        <v>44979</v>
      </c>
      <c r="C516" s="2" t="s">
        <v>9</v>
      </c>
      <c r="D516" s="2" t="s">
        <v>19</v>
      </c>
      <c r="E516" s="2" t="s">
        <v>25</v>
      </c>
      <c r="F516" s="2">
        <v>77642</v>
      </c>
      <c r="G516" s="2">
        <v>48752</v>
      </c>
    </row>
    <row r="517" spans="1:7" x14ac:dyDescent="0.3">
      <c r="A517" s="2">
        <v>1389</v>
      </c>
      <c r="B517" s="3">
        <v>45334</v>
      </c>
      <c r="C517" s="2" t="s">
        <v>16</v>
      </c>
      <c r="D517" s="2" t="s">
        <v>19</v>
      </c>
      <c r="E517" s="2" t="s">
        <v>22</v>
      </c>
      <c r="F517" s="2">
        <v>17924</v>
      </c>
      <c r="G517" s="2">
        <v>12145</v>
      </c>
    </row>
    <row r="518" spans="1:7" x14ac:dyDescent="0.3">
      <c r="A518" s="2">
        <v>1496</v>
      </c>
      <c r="B518" s="3">
        <v>45040</v>
      </c>
      <c r="C518" s="2" t="s">
        <v>13</v>
      </c>
      <c r="D518" s="2" t="s">
        <v>19</v>
      </c>
      <c r="E518" s="2" t="s">
        <v>24</v>
      </c>
      <c r="F518" s="2">
        <v>23434</v>
      </c>
      <c r="G518" s="2">
        <v>16388</v>
      </c>
    </row>
    <row r="519" spans="1:7" x14ac:dyDescent="0.3">
      <c r="A519" s="2">
        <v>1031</v>
      </c>
      <c r="B519" s="3">
        <v>44976</v>
      </c>
      <c r="C519" s="2" t="s">
        <v>16</v>
      </c>
      <c r="D519" s="2" t="s">
        <v>20</v>
      </c>
      <c r="E519" s="2" t="s">
        <v>24</v>
      </c>
      <c r="F519" s="2">
        <v>58883</v>
      </c>
      <c r="G519" s="2">
        <v>43579</v>
      </c>
    </row>
    <row r="520" spans="1:7" x14ac:dyDescent="0.3">
      <c r="A520" s="2">
        <v>1317</v>
      </c>
      <c r="B520" s="3">
        <v>45112</v>
      </c>
      <c r="C520" s="2" t="s">
        <v>8</v>
      </c>
      <c r="D520" s="2" t="s">
        <v>19</v>
      </c>
      <c r="E520" s="2" t="s">
        <v>22</v>
      </c>
      <c r="F520" s="2">
        <v>76781</v>
      </c>
      <c r="G520" s="2">
        <v>66865</v>
      </c>
    </row>
    <row r="521" spans="1:7" x14ac:dyDescent="0.3">
      <c r="A521" s="2">
        <v>1409</v>
      </c>
      <c r="B521" s="3">
        <v>45307</v>
      </c>
      <c r="C521" s="2" t="s">
        <v>14</v>
      </c>
      <c r="D521" s="2" t="s">
        <v>19</v>
      </c>
      <c r="E521" s="2" t="s">
        <v>23</v>
      </c>
      <c r="F521" s="2">
        <v>19969</v>
      </c>
      <c r="G521" s="2">
        <v>13586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184A9-19BA-4A96-96E6-837B1216C9A1}">
  <dimension ref="A3:B8"/>
  <sheetViews>
    <sheetView workbookViewId="0">
      <selection activeCell="B5" sqref="B5"/>
    </sheetView>
  </sheetViews>
  <sheetFormatPr defaultRowHeight="14.4" x14ac:dyDescent="0.3"/>
  <cols>
    <col min="1" max="1" width="12.5546875" bestFit="1" customWidth="1"/>
    <col min="2" max="2" width="11.6640625" bestFit="1" customWidth="1"/>
  </cols>
  <sheetData>
    <row r="3" spans="1:2" x14ac:dyDescent="0.3">
      <c r="A3" s="9" t="s">
        <v>30</v>
      </c>
      <c r="B3" t="s">
        <v>29</v>
      </c>
    </row>
    <row r="4" spans="1:2" x14ac:dyDescent="0.3">
      <c r="A4" s="10" t="s">
        <v>20</v>
      </c>
      <c r="B4" s="8">
        <v>4674994</v>
      </c>
    </row>
    <row r="5" spans="1:2" x14ac:dyDescent="0.3">
      <c r="A5" s="10" t="s">
        <v>19</v>
      </c>
      <c r="B5" s="8">
        <v>5138427</v>
      </c>
    </row>
    <row r="6" spans="1:2" x14ac:dyDescent="0.3">
      <c r="A6" s="10" t="s">
        <v>17</v>
      </c>
      <c r="B6" s="8">
        <v>5176309</v>
      </c>
    </row>
    <row r="7" spans="1:2" x14ac:dyDescent="0.3">
      <c r="A7" s="10" t="s">
        <v>18</v>
      </c>
      <c r="B7" s="8">
        <v>4819905</v>
      </c>
    </row>
    <row r="8" spans="1:2" x14ac:dyDescent="0.3">
      <c r="A8" s="10" t="s">
        <v>31</v>
      </c>
      <c r="B8" s="8">
        <v>19809635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4D389-E523-49D4-8E86-1985E6351AC8}">
  <dimension ref="A1"/>
  <sheetViews>
    <sheetView tabSelected="1" workbookViewId="0">
      <selection sqref="A1:XFD1048576"/>
    </sheetView>
  </sheetViews>
  <sheetFormatPr defaultRowHeight="14.4" x14ac:dyDescent="0.3"/>
  <cols>
    <col min="1" max="16384" width="8.88671875" style="11"/>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6610-26D5-4B0A-8070-DD4BACBF8D61}">
  <dimension ref="A3:B9"/>
  <sheetViews>
    <sheetView workbookViewId="0">
      <selection activeCell="B4" sqref="A3:B9"/>
    </sheetView>
  </sheetViews>
  <sheetFormatPr defaultRowHeight="14.4" x14ac:dyDescent="0.3"/>
  <cols>
    <col min="1" max="1" width="12.5546875" bestFit="1" customWidth="1"/>
    <col min="2" max="2" width="11.6640625" bestFit="1" customWidth="1"/>
  </cols>
  <sheetData>
    <row r="3" spans="1:2" x14ac:dyDescent="0.3">
      <c r="A3" s="9" t="s">
        <v>30</v>
      </c>
      <c r="B3" t="s">
        <v>29</v>
      </c>
    </row>
    <row r="4" spans="1:2" x14ac:dyDescent="0.3">
      <c r="A4" s="10" t="s">
        <v>22</v>
      </c>
      <c r="B4" s="8">
        <v>3967919</v>
      </c>
    </row>
    <row r="5" spans="1:2" x14ac:dyDescent="0.3">
      <c r="A5" s="10" t="s">
        <v>21</v>
      </c>
      <c r="B5" s="8">
        <v>3544151</v>
      </c>
    </row>
    <row r="6" spans="1:2" x14ac:dyDescent="0.3">
      <c r="A6" s="10" t="s">
        <v>23</v>
      </c>
      <c r="B6" s="8">
        <v>3744366</v>
      </c>
    </row>
    <row r="7" spans="1:2" x14ac:dyDescent="0.3">
      <c r="A7" s="10" t="s">
        <v>24</v>
      </c>
      <c r="B7" s="8">
        <v>4562567</v>
      </c>
    </row>
    <row r="8" spans="1:2" x14ac:dyDescent="0.3">
      <c r="A8" s="10" t="s">
        <v>25</v>
      </c>
      <c r="B8" s="8">
        <v>3990632</v>
      </c>
    </row>
    <row r="9" spans="1:2" x14ac:dyDescent="0.3">
      <c r="A9" s="10" t="s">
        <v>31</v>
      </c>
      <c r="B9" s="8">
        <v>19809635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5B2E1-0187-4220-958E-2EC4A1347536}">
  <dimension ref="A3:B16"/>
  <sheetViews>
    <sheetView workbookViewId="0">
      <selection activeCell="A11" sqref="A3:B16"/>
    </sheetView>
  </sheetViews>
  <sheetFormatPr defaultRowHeight="14.4" x14ac:dyDescent="0.3"/>
  <cols>
    <col min="1" max="1" width="12.5546875" bestFit="1" customWidth="1"/>
    <col min="2" max="2" width="11.6640625" bestFit="1" customWidth="1"/>
  </cols>
  <sheetData>
    <row r="3" spans="1:2" x14ac:dyDescent="0.3">
      <c r="A3" s="9" t="s">
        <v>30</v>
      </c>
      <c r="B3" t="s">
        <v>29</v>
      </c>
    </row>
    <row r="4" spans="1:2" x14ac:dyDescent="0.3">
      <c r="A4" s="10" t="s">
        <v>32</v>
      </c>
      <c r="B4" s="8">
        <v>2385640</v>
      </c>
    </row>
    <row r="5" spans="1:2" x14ac:dyDescent="0.3">
      <c r="A5" s="10" t="s">
        <v>33</v>
      </c>
      <c r="B5" s="8">
        <v>2522411</v>
      </c>
    </row>
    <row r="6" spans="1:2" x14ac:dyDescent="0.3">
      <c r="A6" s="10" t="s">
        <v>34</v>
      </c>
      <c r="B6" s="8">
        <v>2853678</v>
      </c>
    </row>
    <row r="7" spans="1:2" x14ac:dyDescent="0.3">
      <c r="A7" s="10" t="s">
        <v>35</v>
      </c>
      <c r="B7" s="8">
        <v>997697</v>
      </c>
    </row>
    <row r="8" spans="1:2" x14ac:dyDescent="0.3">
      <c r="A8" s="10" t="s">
        <v>36</v>
      </c>
      <c r="B8" s="8">
        <v>1522860</v>
      </c>
    </row>
    <row r="9" spans="1:2" x14ac:dyDescent="0.3">
      <c r="A9" s="10" t="s">
        <v>37</v>
      </c>
      <c r="B9" s="8">
        <v>1216763</v>
      </c>
    </row>
    <row r="10" spans="1:2" x14ac:dyDescent="0.3">
      <c r="A10" s="10" t="s">
        <v>38</v>
      </c>
      <c r="B10" s="8">
        <v>1652929</v>
      </c>
    </row>
    <row r="11" spans="1:2" x14ac:dyDescent="0.3">
      <c r="A11" s="10" t="s">
        <v>39</v>
      </c>
      <c r="B11" s="8">
        <v>1702809</v>
      </c>
    </row>
    <row r="12" spans="1:2" x14ac:dyDescent="0.3">
      <c r="A12" s="10" t="s">
        <v>40</v>
      </c>
      <c r="B12" s="8">
        <v>1089882</v>
      </c>
    </row>
    <row r="13" spans="1:2" x14ac:dyDescent="0.3">
      <c r="A13" s="10" t="s">
        <v>41</v>
      </c>
      <c r="B13" s="8">
        <v>1386626</v>
      </c>
    </row>
    <row r="14" spans="1:2" x14ac:dyDescent="0.3">
      <c r="A14" s="10" t="s">
        <v>42</v>
      </c>
      <c r="B14" s="8">
        <v>1109145</v>
      </c>
    </row>
    <row r="15" spans="1:2" x14ac:dyDescent="0.3">
      <c r="A15" s="10" t="s">
        <v>43</v>
      </c>
      <c r="B15" s="8">
        <v>1369195</v>
      </c>
    </row>
    <row r="16" spans="1:2" x14ac:dyDescent="0.3">
      <c r="A16" s="10" t="s">
        <v>31</v>
      </c>
      <c r="B16" s="8">
        <v>19809635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595F9-61FB-4644-94FF-051B800409E3}">
  <dimension ref="A3:B8"/>
  <sheetViews>
    <sheetView topLeftCell="A4" workbookViewId="0">
      <selection activeCell="B6" sqref="A3:B8"/>
    </sheetView>
  </sheetViews>
  <sheetFormatPr defaultRowHeight="14.4" x14ac:dyDescent="0.3"/>
  <cols>
    <col min="1" max="1" width="12.5546875" bestFit="1" customWidth="1"/>
    <col min="2" max="2" width="12.109375" bestFit="1" customWidth="1"/>
  </cols>
  <sheetData>
    <row r="3" spans="1:2" x14ac:dyDescent="0.3">
      <c r="A3" s="9" t="s">
        <v>30</v>
      </c>
      <c r="B3" t="s">
        <v>44</v>
      </c>
    </row>
    <row r="4" spans="1:2" x14ac:dyDescent="0.3">
      <c r="A4" s="10" t="s">
        <v>20</v>
      </c>
      <c r="B4" s="8">
        <v>1213577</v>
      </c>
    </row>
    <row r="5" spans="1:2" x14ac:dyDescent="0.3">
      <c r="A5" s="10" t="s">
        <v>19</v>
      </c>
      <c r="B5" s="8">
        <v>1351593</v>
      </c>
    </row>
    <row r="6" spans="1:2" x14ac:dyDescent="0.3">
      <c r="A6" s="10" t="s">
        <v>17</v>
      </c>
      <c r="B6" s="8">
        <v>1240464</v>
      </c>
    </row>
    <row r="7" spans="1:2" x14ac:dyDescent="0.3">
      <c r="A7" s="10" t="s">
        <v>18</v>
      </c>
      <c r="B7" s="8">
        <v>1186520</v>
      </c>
    </row>
    <row r="8" spans="1:2" x14ac:dyDescent="0.3">
      <c r="A8" s="10" t="s">
        <v>31</v>
      </c>
      <c r="B8" s="8">
        <v>4992154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3F866-B013-413E-BFFE-2870008DDFE9}">
  <dimension ref="A3:B6"/>
  <sheetViews>
    <sheetView workbookViewId="0">
      <selection activeCell="B4" sqref="A3:B6"/>
    </sheetView>
  </sheetViews>
  <sheetFormatPr defaultRowHeight="14.4" x14ac:dyDescent="0.3"/>
  <cols>
    <col min="1" max="1" width="12.5546875" bestFit="1" customWidth="1"/>
    <col min="2" max="2" width="12.109375" bestFit="1" customWidth="1"/>
  </cols>
  <sheetData>
    <row r="3" spans="1:2" x14ac:dyDescent="0.3">
      <c r="A3" s="9" t="s">
        <v>30</v>
      </c>
      <c r="B3" t="s">
        <v>44</v>
      </c>
    </row>
    <row r="4" spans="1:2" x14ac:dyDescent="0.3">
      <c r="A4" s="10" t="s">
        <v>45</v>
      </c>
      <c r="B4" s="8">
        <v>4089112</v>
      </c>
    </row>
    <row r="5" spans="1:2" x14ac:dyDescent="0.3">
      <c r="A5" s="10" t="s">
        <v>46</v>
      </c>
      <c r="B5" s="8">
        <v>903042</v>
      </c>
    </row>
    <row r="6" spans="1:2" x14ac:dyDescent="0.3">
      <c r="A6" s="10" t="s">
        <v>31</v>
      </c>
      <c r="B6" s="8">
        <v>4992154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0CF7A-D2B0-445F-B12D-486EBBFB592D}">
  <dimension ref="A1:J503"/>
  <sheetViews>
    <sheetView topLeftCell="A2" workbookViewId="0">
      <selection activeCell="H12" sqref="H12"/>
    </sheetView>
  </sheetViews>
  <sheetFormatPr defaultRowHeight="14.4" x14ac:dyDescent="0.3"/>
  <cols>
    <col min="1" max="1" width="10.44140625" customWidth="1"/>
    <col min="2" max="2" width="12.5546875" style="5" customWidth="1"/>
    <col min="3" max="3" width="11" customWidth="1"/>
    <col min="5" max="5" width="9.5546875" customWidth="1"/>
  </cols>
  <sheetData>
    <row r="1" spans="1:10" x14ac:dyDescent="0.3">
      <c r="A1" s="7" t="s">
        <v>0</v>
      </c>
      <c r="B1" s="4" t="s">
        <v>1</v>
      </c>
      <c r="C1" s="1" t="s">
        <v>2</v>
      </c>
      <c r="D1" s="1" t="s">
        <v>3</v>
      </c>
      <c r="E1" s="1" t="s">
        <v>4</v>
      </c>
      <c r="F1" s="1" t="s">
        <v>5</v>
      </c>
      <c r="G1" s="1" t="s">
        <v>6</v>
      </c>
      <c r="H1" s="6" t="s">
        <v>26</v>
      </c>
      <c r="I1" s="6" t="s">
        <v>27</v>
      </c>
      <c r="J1" s="6" t="s">
        <v>28</v>
      </c>
    </row>
    <row r="2" spans="1:10" x14ac:dyDescent="0.3">
      <c r="A2">
        <v>1001</v>
      </c>
      <c r="B2">
        <v>44939</v>
      </c>
      <c r="C2" t="s">
        <v>7</v>
      </c>
      <c r="D2" t="s">
        <v>17</v>
      </c>
      <c r="E2" t="s">
        <v>21</v>
      </c>
      <c r="F2">
        <v>23289</v>
      </c>
      <c r="G2">
        <v>19118</v>
      </c>
      <c r="H2">
        <f t="shared" ref="H2:H65" si="0">F2-G2</f>
        <v>4171</v>
      </c>
      <c r="I2" t="str">
        <f t="shared" ref="I2:I65" si="1">TEXT(B2,"yyyy")</f>
        <v>2023</v>
      </c>
      <c r="J2" t="str">
        <f t="shared" ref="J2:J65" si="2">TEXT(B2,"mm")</f>
        <v>01</v>
      </c>
    </row>
    <row r="3" spans="1:10" x14ac:dyDescent="0.3">
      <c r="A3">
        <v>1002</v>
      </c>
      <c r="B3">
        <v>45206</v>
      </c>
      <c r="C3" t="s">
        <v>8</v>
      </c>
      <c r="D3" t="s">
        <v>18</v>
      </c>
      <c r="E3" t="s">
        <v>22</v>
      </c>
      <c r="F3">
        <v>8905</v>
      </c>
      <c r="G3">
        <v>5593</v>
      </c>
      <c r="H3">
        <f t="shared" si="0"/>
        <v>3312</v>
      </c>
      <c r="I3" t="str">
        <f t="shared" si="1"/>
        <v>2023</v>
      </c>
      <c r="J3" t="str">
        <f t="shared" si="2"/>
        <v>10</v>
      </c>
    </row>
    <row r="4" spans="1:10" x14ac:dyDescent="0.3">
      <c r="A4">
        <v>1003</v>
      </c>
      <c r="B4">
        <v>45235</v>
      </c>
      <c r="C4" t="s">
        <v>9</v>
      </c>
      <c r="D4" t="s">
        <v>17</v>
      </c>
      <c r="E4" t="s">
        <v>23</v>
      </c>
      <c r="F4">
        <v>59987</v>
      </c>
      <c r="G4">
        <v>39959</v>
      </c>
      <c r="H4">
        <f t="shared" si="0"/>
        <v>20028</v>
      </c>
      <c r="I4" t="str">
        <f t="shared" si="1"/>
        <v>2023</v>
      </c>
      <c r="J4" t="str">
        <f t="shared" si="2"/>
        <v>11</v>
      </c>
    </row>
    <row r="5" spans="1:10" x14ac:dyDescent="0.3">
      <c r="A5">
        <v>1004</v>
      </c>
      <c r="B5">
        <v>45341</v>
      </c>
      <c r="C5" t="s">
        <v>9</v>
      </c>
      <c r="D5" t="s">
        <v>17</v>
      </c>
      <c r="E5" t="s">
        <v>24</v>
      </c>
      <c r="F5">
        <v>49597</v>
      </c>
      <c r="G5">
        <v>33892</v>
      </c>
      <c r="H5">
        <f t="shared" si="0"/>
        <v>15705</v>
      </c>
      <c r="I5" t="str">
        <f t="shared" si="1"/>
        <v>2024</v>
      </c>
      <c r="J5" t="str">
        <f t="shared" si="2"/>
        <v>02</v>
      </c>
    </row>
    <row r="6" spans="1:10" x14ac:dyDescent="0.3">
      <c r="A6">
        <v>1005</v>
      </c>
      <c r="B6">
        <v>45317</v>
      </c>
      <c r="C6" t="s">
        <v>10</v>
      </c>
      <c r="D6" t="s">
        <v>19</v>
      </c>
      <c r="E6" t="s">
        <v>22</v>
      </c>
      <c r="F6">
        <v>54797</v>
      </c>
      <c r="G6">
        <v>34468</v>
      </c>
      <c r="H6">
        <f t="shared" si="0"/>
        <v>20329</v>
      </c>
      <c r="I6" t="str">
        <f t="shared" si="1"/>
        <v>2024</v>
      </c>
      <c r="J6" t="str">
        <f t="shared" si="2"/>
        <v>01</v>
      </c>
    </row>
    <row r="7" spans="1:10" x14ac:dyDescent="0.3">
      <c r="A7">
        <v>1006</v>
      </c>
      <c r="B7">
        <v>45236</v>
      </c>
      <c r="C7" t="s">
        <v>7</v>
      </c>
      <c r="D7" t="s">
        <v>19</v>
      </c>
      <c r="E7" t="s">
        <v>24</v>
      </c>
      <c r="F7">
        <v>75284</v>
      </c>
      <c r="G7">
        <v>47989</v>
      </c>
      <c r="H7">
        <f t="shared" si="0"/>
        <v>27295</v>
      </c>
      <c r="I7" t="str">
        <f t="shared" si="1"/>
        <v>2023</v>
      </c>
      <c r="J7" t="str">
        <f t="shared" si="2"/>
        <v>11</v>
      </c>
    </row>
    <row r="8" spans="1:10" x14ac:dyDescent="0.3">
      <c r="A8">
        <v>1007</v>
      </c>
      <c r="B8">
        <v>44967</v>
      </c>
      <c r="C8" t="s">
        <v>11</v>
      </c>
      <c r="D8" t="s">
        <v>20</v>
      </c>
      <c r="E8" t="s">
        <v>23</v>
      </c>
      <c r="F8">
        <v>52400</v>
      </c>
      <c r="G8">
        <v>40515</v>
      </c>
      <c r="H8">
        <f t="shared" si="0"/>
        <v>11885</v>
      </c>
      <c r="I8" t="str">
        <f t="shared" si="1"/>
        <v>2023</v>
      </c>
      <c r="J8" t="str">
        <f t="shared" si="2"/>
        <v>02</v>
      </c>
    </row>
    <row r="9" spans="1:10" x14ac:dyDescent="0.3">
      <c r="A9">
        <v>1008</v>
      </c>
      <c r="B9">
        <v>44950</v>
      </c>
      <c r="C9" t="s">
        <v>12</v>
      </c>
      <c r="D9" t="s">
        <v>20</v>
      </c>
      <c r="E9" t="s">
        <v>22</v>
      </c>
      <c r="F9">
        <v>35512</v>
      </c>
      <c r="G9">
        <v>30538</v>
      </c>
      <c r="H9">
        <f t="shared" si="0"/>
        <v>4974</v>
      </c>
      <c r="I9" t="str">
        <f t="shared" si="1"/>
        <v>2023</v>
      </c>
      <c r="J9" t="str">
        <f t="shared" si="2"/>
        <v>01</v>
      </c>
    </row>
    <row r="10" spans="1:10" x14ac:dyDescent="0.3">
      <c r="A10">
        <v>1009</v>
      </c>
      <c r="B10">
        <v>45159</v>
      </c>
      <c r="C10" t="s">
        <v>10</v>
      </c>
      <c r="D10" t="s">
        <v>17</v>
      </c>
      <c r="E10" t="s">
        <v>25</v>
      </c>
      <c r="F10">
        <v>51566</v>
      </c>
      <c r="G10">
        <v>34180</v>
      </c>
      <c r="H10">
        <f t="shared" si="0"/>
        <v>17386</v>
      </c>
      <c r="I10" t="str">
        <f t="shared" si="1"/>
        <v>2023</v>
      </c>
      <c r="J10" t="str">
        <f t="shared" si="2"/>
        <v>08</v>
      </c>
    </row>
    <row r="11" spans="1:10" x14ac:dyDescent="0.3">
      <c r="A11">
        <v>1010</v>
      </c>
      <c r="B11">
        <v>45276</v>
      </c>
      <c r="C11" t="s">
        <v>8</v>
      </c>
      <c r="D11" t="s">
        <v>17</v>
      </c>
      <c r="E11" t="s">
        <v>23</v>
      </c>
      <c r="F11">
        <v>37087</v>
      </c>
      <c r="G11">
        <v>24070</v>
      </c>
      <c r="H11">
        <f t="shared" si="0"/>
        <v>13017</v>
      </c>
      <c r="I11" t="str">
        <f t="shared" si="1"/>
        <v>2023</v>
      </c>
      <c r="J11" t="str">
        <f t="shared" si="2"/>
        <v>12</v>
      </c>
    </row>
    <row r="12" spans="1:10" x14ac:dyDescent="0.3">
      <c r="A12">
        <v>1011</v>
      </c>
      <c r="B12">
        <v>45254</v>
      </c>
      <c r="C12" t="s">
        <v>11</v>
      </c>
      <c r="D12" t="s">
        <v>17</v>
      </c>
      <c r="E12" t="s">
        <v>25</v>
      </c>
      <c r="F12">
        <v>12331</v>
      </c>
      <c r="G12">
        <v>8245</v>
      </c>
      <c r="H12">
        <f t="shared" si="0"/>
        <v>4086</v>
      </c>
      <c r="I12" t="str">
        <f t="shared" si="1"/>
        <v>2023</v>
      </c>
      <c r="J12" t="str">
        <f t="shared" si="2"/>
        <v>11</v>
      </c>
    </row>
    <row r="13" spans="1:10" x14ac:dyDescent="0.3">
      <c r="A13">
        <v>1013</v>
      </c>
      <c r="B13">
        <v>45375</v>
      </c>
      <c r="C13" t="s">
        <v>10</v>
      </c>
      <c r="D13" t="s">
        <v>17</v>
      </c>
      <c r="E13" t="s">
        <v>24</v>
      </c>
      <c r="F13">
        <v>56856</v>
      </c>
      <c r="G13">
        <v>49203</v>
      </c>
      <c r="H13">
        <f t="shared" si="0"/>
        <v>7653</v>
      </c>
      <c r="I13" t="str">
        <f t="shared" si="1"/>
        <v>2024</v>
      </c>
      <c r="J13" t="str">
        <f t="shared" si="2"/>
        <v>03</v>
      </c>
    </row>
    <row r="14" spans="1:10" x14ac:dyDescent="0.3">
      <c r="A14">
        <v>1014</v>
      </c>
      <c r="B14">
        <v>45000</v>
      </c>
      <c r="C14" t="s">
        <v>7</v>
      </c>
      <c r="D14" t="s">
        <v>17</v>
      </c>
      <c r="E14" t="s">
        <v>21</v>
      </c>
      <c r="F14">
        <v>78579</v>
      </c>
      <c r="G14">
        <v>59853</v>
      </c>
      <c r="H14">
        <f t="shared" si="0"/>
        <v>18726</v>
      </c>
      <c r="I14" t="str">
        <f t="shared" si="1"/>
        <v>2023</v>
      </c>
      <c r="J14" t="str">
        <f t="shared" si="2"/>
        <v>03</v>
      </c>
    </row>
    <row r="15" spans="1:10" x14ac:dyDescent="0.3">
      <c r="A15">
        <v>1015</v>
      </c>
      <c r="B15">
        <v>45146</v>
      </c>
      <c r="C15" t="s">
        <v>13</v>
      </c>
      <c r="D15" t="s">
        <v>18</v>
      </c>
      <c r="E15" t="s">
        <v>25</v>
      </c>
      <c r="F15">
        <v>33746</v>
      </c>
      <c r="G15">
        <v>30344</v>
      </c>
      <c r="H15">
        <f t="shared" si="0"/>
        <v>3402</v>
      </c>
      <c r="I15" t="str">
        <f t="shared" si="1"/>
        <v>2023</v>
      </c>
      <c r="J15" t="str">
        <f t="shared" si="2"/>
        <v>08</v>
      </c>
    </row>
    <row r="16" spans="1:10" x14ac:dyDescent="0.3">
      <c r="A16">
        <v>1016</v>
      </c>
      <c r="B16">
        <v>45179</v>
      </c>
      <c r="C16" t="s">
        <v>8</v>
      </c>
      <c r="D16" t="s">
        <v>19</v>
      </c>
      <c r="E16" t="s">
        <v>22</v>
      </c>
      <c r="F16">
        <v>25033</v>
      </c>
      <c r="G16">
        <v>19731</v>
      </c>
      <c r="H16">
        <f t="shared" si="0"/>
        <v>5302</v>
      </c>
      <c r="I16" t="str">
        <f t="shared" si="1"/>
        <v>2023</v>
      </c>
      <c r="J16" t="str">
        <f t="shared" si="2"/>
        <v>09</v>
      </c>
    </row>
    <row r="17" spans="1:10" x14ac:dyDescent="0.3">
      <c r="A17">
        <v>1017</v>
      </c>
      <c r="B17">
        <v>45143</v>
      </c>
      <c r="C17" t="s">
        <v>13</v>
      </c>
      <c r="D17" t="s">
        <v>19</v>
      </c>
      <c r="E17" t="s">
        <v>24</v>
      </c>
      <c r="F17">
        <v>55019</v>
      </c>
      <c r="G17">
        <v>42846</v>
      </c>
      <c r="H17">
        <f t="shared" si="0"/>
        <v>12173</v>
      </c>
      <c r="I17" t="str">
        <f t="shared" si="1"/>
        <v>2023</v>
      </c>
      <c r="J17" t="str">
        <f t="shared" si="2"/>
        <v>08</v>
      </c>
    </row>
    <row r="18" spans="1:10" x14ac:dyDescent="0.3">
      <c r="A18">
        <v>1018</v>
      </c>
      <c r="B18">
        <v>45055</v>
      </c>
      <c r="C18" t="s">
        <v>11</v>
      </c>
      <c r="D18" t="s">
        <v>19</v>
      </c>
      <c r="E18" t="s">
        <v>22</v>
      </c>
      <c r="F18">
        <v>75381</v>
      </c>
      <c r="G18">
        <v>62209</v>
      </c>
      <c r="H18">
        <f t="shared" si="0"/>
        <v>13172</v>
      </c>
      <c r="I18" t="str">
        <f t="shared" si="1"/>
        <v>2023</v>
      </c>
      <c r="J18" t="str">
        <f t="shared" si="2"/>
        <v>05</v>
      </c>
    </row>
    <row r="19" spans="1:10" x14ac:dyDescent="0.3">
      <c r="A19">
        <v>1019</v>
      </c>
      <c r="B19">
        <v>45101</v>
      </c>
      <c r="C19" t="s">
        <v>8</v>
      </c>
      <c r="D19" t="s">
        <v>20</v>
      </c>
      <c r="E19" t="s">
        <v>24</v>
      </c>
      <c r="F19">
        <v>25730</v>
      </c>
      <c r="G19">
        <v>18940</v>
      </c>
      <c r="H19">
        <f t="shared" si="0"/>
        <v>6790</v>
      </c>
      <c r="I19" t="str">
        <f t="shared" si="1"/>
        <v>2023</v>
      </c>
      <c r="J19" t="str">
        <f t="shared" si="2"/>
        <v>06</v>
      </c>
    </row>
    <row r="20" spans="1:10" x14ac:dyDescent="0.3">
      <c r="A20">
        <v>1020</v>
      </c>
      <c r="B20">
        <v>45375</v>
      </c>
      <c r="C20" t="s">
        <v>7</v>
      </c>
      <c r="D20" t="s">
        <v>17</v>
      </c>
      <c r="E20" t="s">
        <v>23</v>
      </c>
      <c r="F20">
        <v>18947</v>
      </c>
      <c r="G20">
        <v>16316</v>
      </c>
      <c r="H20">
        <f t="shared" si="0"/>
        <v>2631</v>
      </c>
      <c r="I20" t="str">
        <f t="shared" si="1"/>
        <v>2024</v>
      </c>
      <c r="J20" t="str">
        <f t="shared" si="2"/>
        <v>03</v>
      </c>
    </row>
    <row r="21" spans="1:10" x14ac:dyDescent="0.3">
      <c r="A21">
        <v>1021</v>
      </c>
      <c r="B21">
        <v>45254</v>
      </c>
      <c r="C21" t="s">
        <v>11</v>
      </c>
      <c r="D21" t="s">
        <v>17</v>
      </c>
      <c r="E21" t="s">
        <v>21</v>
      </c>
      <c r="F21">
        <v>54009</v>
      </c>
      <c r="G21">
        <v>44760</v>
      </c>
      <c r="H21">
        <f t="shared" si="0"/>
        <v>9249</v>
      </c>
      <c r="I21" t="str">
        <f t="shared" si="1"/>
        <v>2023</v>
      </c>
      <c r="J21" t="str">
        <f t="shared" si="2"/>
        <v>11</v>
      </c>
    </row>
    <row r="22" spans="1:10" x14ac:dyDescent="0.3">
      <c r="A22">
        <v>1022</v>
      </c>
      <c r="B22">
        <v>45325</v>
      </c>
      <c r="C22" t="s">
        <v>11</v>
      </c>
      <c r="D22" t="s">
        <v>19</v>
      </c>
      <c r="E22" t="s">
        <v>23</v>
      </c>
      <c r="F22">
        <v>47487</v>
      </c>
      <c r="G22">
        <v>35452</v>
      </c>
      <c r="H22">
        <f t="shared" si="0"/>
        <v>12035</v>
      </c>
      <c r="I22" t="str">
        <f t="shared" si="1"/>
        <v>2024</v>
      </c>
      <c r="J22" t="str">
        <f t="shared" si="2"/>
        <v>02</v>
      </c>
    </row>
    <row r="23" spans="1:10" x14ac:dyDescent="0.3">
      <c r="A23">
        <v>1023</v>
      </c>
      <c r="B23">
        <v>45112</v>
      </c>
      <c r="C23" t="s">
        <v>7</v>
      </c>
      <c r="D23" t="s">
        <v>17</v>
      </c>
      <c r="E23" t="s">
        <v>22</v>
      </c>
      <c r="F23">
        <v>36571</v>
      </c>
      <c r="G23">
        <v>31575</v>
      </c>
      <c r="H23">
        <f t="shared" si="0"/>
        <v>4996</v>
      </c>
      <c r="I23" t="str">
        <f t="shared" si="1"/>
        <v>2023</v>
      </c>
      <c r="J23" t="str">
        <f t="shared" si="2"/>
        <v>07</v>
      </c>
    </row>
    <row r="24" spans="1:10" x14ac:dyDescent="0.3">
      <c r="A24">
        <v>1024</v>
      </c>
      <c r="B24">
        <v>44970</v>
      </c>
      <c r="C24" t="s">
        <v>14</v>
      </c>
      <c r="D24" t="s">
        <v>19</v>
      </c>
      <c r="E24" t="s">
        <v>23</v>
      </c>
      <c r="F24">
        <v>21483</v>
      </c>
      <c r="G24">
        <v>13717</v>
      </c>
      <c r="H24">
        <f t="shared" si="0"/>
        <v>7766</v>
      </c>
      <c r="I24" t="str">
        <f t="shared" si="1"/>
        <v>2023</v>
      </c>
      <c r="J24" t="str">
        <f t="shared" si="2"/>
        <v>02</v>
      </c>
    </row>
    <row r="25" spans="1:10" x14ac:dyDescent="0.3">
      <c r="A25">
        <v>1025</v>
      </c>
      <c r="B25">
        <v>45208</v>
      </c>
      <c r="C25" t="s">
        <v>15</v>
      </c>
      <c r="D25" t="s">
        <v>20</v>
      </c>
      <c r="E25" t="s">
        <v>23</v>
      </c>
      <c r="F25">
        <v>60461</v>
      </c>
      <c r="G25">
        <v>53768</v>
      </c>
      <c r="H25">
        <f t="shared" si="0"/>
        <v>6693</v>
      </c>
      <c r="I25" t="str">
        <f t="shared" si="1"/>
        <v>2023</v>
      </c>
      <c r="J25" t="str">
        <f t="shared" si="2"/>
        <v>10</v>
      </c>
    </row>
    <row r="26" spans="1:10" x14ac:dyDescent="0.3">
      <c r="A26">
        <v>1026</v>
      </c>
      <c r="B26">
        <v>45313</v>
      </c>
      <c r="C26" t="s">
        <v>12</v>
      </c>
      <c r="D26" t="s">
        <v>20</v>
      </c>
      <c r="E26" t="s">
        <v>24</v>
      </c>
      <c r="F26">
        <v>53944</v>
      </c>
      <c r="G26">
        <v>39456</v>
      </c>
      <c r="H26">
        <f t="shared" si="0"/>
        <v>14488</v>
      </c>
      <c r="I26" t="str">
        <f t="shared" si="1"/>
        <v>2024</v>
      </c>
      <c r="J26" t="str">
        <f t="shared" si="2"/>
        <v>01</v>
      </c>
    </row>
    <row r="27" spans="1:10" x14ac:dyDescent="0.3">
      <c r="A27">
        <v>1027</v>
      </c>
      <c r="B27">
        <v>44988</v>
      </c>
      <c r="C27" t="s">
        <v>12</v>
      </c>
      <c r="D27" t="s">
        <v>17</v>
      </c>
      <c r="E27" t="s">
        <v>22</v>
      </c>
      <c r="F27">
        <v>49313</v>
      </c>
      <c r="G27">
        <v>29898</v>
      </c>
      <c r="H27">
        <f t="shared" si="0"/>
        <v>19415</v>
      </c>
      <c r="I27" t="str">
        <f t="shared" si="1"/>
        <v>2023</v>
      </c>
      <c r="J27" t="str">
        <f t="shared" si="2"/>
        <v>03</v>
      </c>
    </row>
    <row r="28" spans="1:10" x14ac:dyDescent="0.3">
      <c r="A28">
        <v>1028</v>
      </c>
      <c r="B28">
        <v>45228</v>
      </c>
      <c r="C28" t="s">
        <v>12</v>
      </c>
      <c r="D28" t="s">
        <v>19</v>
      </c>
      <c r="E28" t="s">
        <v>22</v>
      </c>
      <c r="F28">
        <v>12716</v>
      </c>
      <c r="G28">
        <v>8502</v>
      </c>
      <c r="H28">
        <f t="shared" si="0"/>
        <v>4214</v>
      </c>
      <c r="I28" t="str">
        <f t="shared" si="1"/>
        <v>2023</v>
      </c>
      <c r="J28" t="str">
        <f t="shared" si="2"/>
        <v>10</v>
      </c>
    </row>
    <row r="29" spans="1:10" x14ac:dyDescent="0.3">
      <c r="A29">
        <v>1029</v>
      </c>
      <c r="B29">
        <v>45367</v>
      </c>
      <c r="C29" t="s">
        <v>10</v>
      </c>
      <c r="D29" t="s">
        <v>19</v>
      </c>
      <c r="E29" t="s">
        <v>23</v>
      </c>
      <c r="F29">
        <v>36195</v>
      </c>
      <c r="G29">
        <v>24740</v>
      </c>
      <c r="H29">
        <f t="shared" si="0"/>
        <v>11455</v>
      </c>
      <c r="I29" t="str">
        <f t="shared" si="1"/>
        <v>2024</v>
      </c>
      <c r="J29" t="str">
        <f t="shared" si="2"/>
        <v>03</v>
      </c>
    </row>
    <row r="30" spans="1:10" x14ac:dyDescent="0.3">
      <c r="A30">
        <v>1030</v>
      </c>
      <c r="B30">
        <v>45203</v>
      </c>
      <c r="C30" t="s">
        <v>15</v>
      </c>
      <c r="D30" t="s">
        <v>18</v>
      </c>
      <c r="E30" t="s">
        <v>21</v>
      </c>
      <c r="F30">
        <v>66993</v>
      </c>
      <c r="G30">
        <v>56424</v>
      </c>
      <c r="H30">
        <f t="shared" si="0"/>
        <v>10569</v>
      </c>
      <c r="I30" t="str">
        <f t="shared" si="1"/>
        <v>2023</v>
      </c>
      <c r="J30" t="str">
        <f t="shared" si="2"/>
        <v>10</v>
      </c>
    </row>
    <row r="31" spans="1:10" x14ac:dyDescent="0.3">
      <c r="A31">
        <v>1031</v>
      </c>
      <c r="B31">
        <v>44976</v>
      </c>
      <c r="C31" t="s">
        <v>16</v>
      </c>
      <c r="D31" t="s">
        <v>20</v>
      </c>
      <c r="E31" t="s">
        <v>24</v>
      </c>
      <c r="F31">
        <v>58883</v>
      </c>
      <c r="G31">
        <v>43579</v>
      </c>
      <c r="H31">
        <f t="shared" si="0"/>
        <v>15304</v>
      </c>
      <c r="I31" t="str">
        <f t="shared" si="1"/>
        <v>2023</v>
      </c>
      <c r="J31" t="str">
        <f t="shared" si="2"/>
        <v>02</v>
      </c>
    </row>
    <row r="32" spans="1:10" x14ac:dyDescent="0.3">
      <c r="A32">
        <v>1032</v>
      </c>
      <c r="B32">
        <v>45271</v>
      </c>
      <c r="C32" t="s">
        <v>8</v>
      </c>
      <c r="D32" t="s">
        <v>19</v>
      </c>
      <c r="E32" t="s">
        <v>24</v>
      </c>
      <c r="F32">
        <v>49473</v>
      </c>
      <c r="G32">
        <v>41566</v>
      </c>
      <c r="H32">
        <f t="shared" si="0"/>
        <v>7907</v>
      </c>
      <c r="I32" t="str">
        <f t="shared" si="1"/>
        <v>2023</v>
      </c>
      <c r="J32" t="str">
        <f t="shared" si="2"/>
        <v>12</v>
      </c>
    </row>
    <row r="33" spans="1:10" x14ac:dyDescent="0.3">
      <c r="A33">
        <v>1033</v>
      </c>
      <c r="B33">
        <v>45025</v>
      </c>
      <c r="C33" t="s">
        <v>12</v>
      </c>
      <c r="D33" t="s">
        <v>18</v>
      </c>
      <c r="E33" t="s">
        <v>21</v>
      </c>
      <c r="F33">
        <v>60296</v>
      </c>
      <c r="G33">
        <v>39496</v>
      </c>
      <c r="H33">
        <f t="shared" si="0"/>
        <v>20800</v>
      </c>
      <c r="I33" t="str">
        <f t="shared" si="1"/>
        <v>2023</v>
      </c>
      <c r="J33" t="str">
        <f t="shared" si="2"/>
        <v>04</v>
      </c>
    </row>
    <row r="34" spans="1:10" x14ac:dyDescent="0.3">
      <c r="A34">
        <v>1034</v>
      </c>
      <c r="B34">
        <v>45374</v>
      </c>
      <c r="C34" t="s">
        <v>8</v>
      </c>
      <c r="D34" t="s">
        <v>18</v>
      </c>
      <c r="E34" t="s">
        <v>23</v>
      </c>
      <c r="F34">
        <v>17833</v>
      </c>
      <c r="G34">
        <v>10970</v>
      </c>
      <c r="H34">
        <f t="shared" si="0"/>
        <v>6863</v>
      </c>
      <c r="I34" t="str">
        <f t="shared" si="1"/>
        <v>2024</v>
      </c>
      <c r="J34" t="str">
        <f t="shared" si="2"/>
        <v>03</v>
      </c>
    </row>
    <row r="35" spans="1:10" x14ac:dyDescent="0.3">
      <c r="A35">
        <v>1035</v>
      </c>
      <c r="B35">
        <v>45355</v>
      </c>
      <c r="C35" t="s">
        <v>9</v>
      </c>
      <c r="D35" t="s">
        <v>19</v>
      </c>
      <c r="E35" t="s">
        <v>21</v>
      </c>
      <c r="F35">
        <v>26798</v>
      </c>
      <c r="G35">
        <v>19346</v>
      </c>
      <c r="H35">
        <f t="shared" si="0"/>
        <v>7452</v>
      </c>
      <c r="I35" t="str">
        <f t="shared" si="1"/>
        <v>2024</v>
      </c>
      <c r="J35" t="str">
        <f t="shared" si="2"/>
        <v>03</v>
      </c>
    </row>
    <row r="36" spans="1:10" x14ac:dyDescent="0.3">
      <c r="A36">
        <v>1036</v>
      </c>
      <c r="B36">
        <v>45369</v>
      </c>
      <c r="C36" t="s">
        <v>16</v>
      </c>
      <c r="D36" t="s">
        <v>19</v>
      </c>
      <c r="E36" t="s">
        <v>21</v>
      </c>
      <c r="F36">
        <v>54672</v>
      </c>
      <c r="G36">
        <v>32838</v>
      </c>
      <c r="H36">
        <f t="shared" si="0"/>
        <v>21834</v>
      </c>
      <c r="I36" t="str">
        <f t="shared" si="1"/>
        <v>2024</v>
      </c>
      <c r="J36" t="str">
        <f t="shared" si="2"/>
        <v>03</v>
      </c>
    </row>
    <row r="37" spans="1:10" x14ac:dyDescent="0.3">
      <c r="A37">
        <v>1037</v>
      </c>
      <c r="B37">
        <v>45328</v>
      </c>
      <c r="C37" t="s">
        <v>14</v>
      </c>
      <c r="D37" t="s">
        <v>20</v>
      </c>
      <c r="E37" t="s">
        <v>24</v>
      </c>
      <c r="F37">
        <v>77845</v>
      </c>
      <c r="G37">
        <v>62164</v>
      </c>
      <c r="H37">
        <f t="shared" si="0"/>
        <v>15681</v>
      </c>
      <c r="I37" t="str">
        <f t="shared" si="1"/>
        <v>2024</v>
      </c>
      <c r="J37" t="str">
        <f t="shared" si="2"/>
        <v>02</v>
      </c>
    </row>
    <row r="38" spans="1:10" x14ac:dyDescent="0.3">
      <c r="A38">
        <v>1038</v>
      </c>
      <c r="B38">
        <v>45024</v>
      </c>
      <c r="C38" t="s">
        <v>7</v>
      </c>
      <c r="D38" t="s">
        <v>17</v>
      </c>
      <c r="E38" t="s">
        <v>22</v>
      </c>
      <c r="F38">
        <v>76066</v>
      </c>
      <c r="G38">
        <v>47030</v>
      </c>
      <c r="H38">
        <f t="shared" si="0"/>
        <v>29036</v>
      </c>
      <c r="I38" t="str">
        <f t="shared" si="1"/>
        <v>2023</v>
      </c>
      <c r="J38" t="str">
        <f t="shared" si="2"/>
        <v>04</v>
      </c>
    </row>
    <row r="39" spans="1:10" x14ac:dyDescent="0.3">
      <c r="A39">
        <v>1039</v>
      </c>
      <c r="B39">
        <v>44952</v>
      </c>
      <c r="C39" t="s">
        <v>13</v>
      </c>
      <c r="D39" t="s">
        <v>18</v>
      </c>
      <c r="E39" t="s">
        <v>23</v>
      </c>
      <c r="F39">
        <v>74615</v>
      </c>
      <c r="G39">
        <v>48293</v>
      </c>
      <c r="H39">
        <f t="shared" si="0"/>
        <v>26322</v>
      </c>
      <c r="I39" t="str">
        <f t="shared" si="1"/>
        <v>2023</v>
      </c>
      <c r="J39" t="str">
        <f t="shared" si="2"/>
        <v>01</v>
      </c>
    </row>
    <row r="40" spans="1:10" x14ac:dyDescent="0.3">
      <c r="A40">
        <v>1040</v>
      </c>
      <c r="B40">
        <v>44968</v>
      </c>
      <c r="C40" t="s">
        <v>15</v>
      </c>
      <c r="D40" t="s">
        <v>19</v>
      </c>
      <c r="E40" t="s">
        <v>23</v>
      </c>
      <c r="F40">
        <v>13907</v>
      </c>
      <c r="G40">
        <v>11161</v>
      </c>
      <c r="H40">
        <f t="shared" si="0"/>
        <v>2746</v>
      </c>
      <c r="I40" t="str">
        <f t="shared" si="1"/>
        <v>2023</v>
      </c>
      <c r="J40" t="str">
        <f t="shared" si="2"/>
        <v>02</v>
      </c>
    </row>
    <row r="41" spans="1:10" x14ac:dyDescent="0.3">
      <c r="A41">
        <v>1041</v>
      </c>
      <c r="B41">
        <v>44988</v>
      </c>
      <c r="C41" t="s">
        <v>13</v>
      </c>
      <c r="D41" t="s">
        <v>17</v>
      </c>
      <c r="E41" t="s">
        <v>23</v>
      </c>
      <c r="F41">
        <v>10209</v>
      </c>
      <c r="G41">
        <v>8022</v>
      </c>
      <c r="H41">
        <f t="shared" si="0"/>
        <v>2187</v>
      </c>
      <c r="I41" t="str">
        <f t="shared" si="1"/>
        <v>2023</v>
      </c>
      <c r="J41" t="str">
        <f t="shared" si="2"/>
        <v>03</v>
      </c>
    </row>
    <row r="42" spans="1:10" x14ac:dyDescent="0.3">
      <c r="A42">
        <v>1042</v>
      </c>
      <c r="B42">
        <v>45225</v>
      </c>
      <c r="C42" t="s">
        <v>13</v>
      </c>
      <c r="D42" t="s">
        <v>20</v>
      </c>
      <c r="E42" t="s">
        <v>25</v>
      </c>
      <c r="F42">
        <v>31772</v>
      </c>
      <c r="G42">
        <v>25446</v>
      </c>
      <c r="H42">
        <f t="shared" si="0"/>
        <v>6326</v>
      </c>
      <c r="I42" t="str">
        <f t="shared" si="1"/>
        <v>2023</v>
      </c>
      <c r="J42" t="str">
        <f t="shared" si="2"/>
        <v>10</v>
      </c>
    </row>
    <row r="43" spans="1:10" x14ac:dyDescent="0.3">
      <c r="A43">
        <v>1043</v>
      </c>
      <c r="B43">
        <v>45062</v>
      </c>
      <c r="C43" t="s">
        <v>16</v>
      </c>
      <c r="D43" t="s">
        <v>17</v>
      </c>
      <c r="E43" t="s">
        <v>25</v>
      </c>
      <c r="F43">
        <v>64929</v>
      </c>
      <c r="G43">
        <v>45116</v>
      </c>
      <c r="H43">
        <f t="shared" si="0"/>
        <v>19813</v>
      </c>
      <c r="I43" t="str">
        <f t="shared" si="1"/>
        <v>2023</v>
      </c>
      <c r="J43" t="str">
        <f t="shared" si="2"/>
        <v>05</v>
      </c>
    </row>
    <row r="44" spans="1:10" x14ac:dyDescent="0.3">
      <c r="A44">
        <v>1044</v>
      </c>
      <c r="B44">
        <v>44964</v>
      </c>
      <c r="C44" t="s">
        <v>9</v>
      </c>
      <c r="D44" t="s">
        <v>18</v>
      </c>
      <c r="E44" t="s">
        <v>23</v>
      </c>
      <c r="F44">
        <v>78792</v>
      </c>
      <c r="G44">
        <v>70820</v>
      </c>
      <c r="H44">
        <f t="shared" si="0"/>
        <v>7972</v>
      </c>
      <c r="I44" t="str">
        <f t="shared" si="1"/>
        <v>2023</v>
      </c>
      <c r="J44" t="str">
        <f t="shared" si="2"/>
        <v>02</v>
      </c>
    </row>
    <row r="45" spans="1:10" x14ac:dyDescent="0.3">
      <c r="A45">
        <v>1045</v>
      </c>
      <c r="B45">
        <v>45036</v>
      </c>
      <c r="C45" t="s">
        <v>11</v>
      </c>
      <c r="D45" t="s">
        <v>20</v>
      </c>
      <c r="E45" t="s">
        <v>21</v>
      </c>
      <c r="F45">
        <v>50745</v>
      </c>
      <c r="G45">
        <v>43856</v>
      </c>
      <c r="H45">
        <f t="shared" si="0"/>
        <v>6889</v>
      </c>
      <c r="I45" t="str">
        <f t="shared" si="1"/>
        <v>2023</v>
      </c>
      <c r="J45" t="str">
        <f t="shared" si="2"/>
        <v>04</v>
      </c>
    </row>
    <row r="46" spans="1:10" x14ac:dyDescent="0.3">
      <c r="A46">
        <v>1046</v>
      </c>
      <c r="B46">
        <v>45116</v>
      </c>
      <c r="C46" t="s">
        <v>7</v>
      </c>
      <c r="D46" t="s">
        <v>17</v>
      </c>
      <c r="E46" t="s">
        <v>24</v>
      </c>
      <c r="F46">
        <v>76200</v>
      </c>
      <c r="G46">
        <v>61802</v>
      </c>
      <c r="H46">
        <f t="shared" si="0"/>
        <v>14398</v>
      </c>
      <c r="I46" t="str">
        <f t="shared" si="1"/>
        <v>2023</v>
      </c>
      <c r="J46" t="str">
        <f t="shared" si="2"/>
        <v>07</v>
      </c>
    </row>
    <row r="47" spans="1:10" x14ac:dyDescent="0.3">
      <c r="A47">
        <v>1047</v>
      </c>
      <c r="B47">
        <v>45340</v>
      </c>
      <c r="C47" t="s">
        <v>11</v>
      </c>
      <c r="D47" t="s">
        <v>19</v>
      </c>
      <c r="E47" t="s">
        <v>23</v>
      </c>
      <c r="F47">
        <v>44240</v>
      </c>
      <c r="G47">
        <v>38910</v>
      </c>
      <c r="H47">
        <f t="shared" si="0"/>
        <v>5330</v>
      </c>
      <c r="I47" t="str">
        <f t="shared" si="1"/>
        <v>2024</v>
      </c>
      <c r="J47" t="str">
        <f t="shared" si="2"/>
        <v>02</v>
      </c>
    </row>
    <row r="48" spans="1:10" x14ac:dyDescent="0.3">
      <c r="A48">
        <v>1048</v>
      </c>
      <c r="B48">
        <v>45376</v>
      </c>
      <c r="C48" t="s">
        <v>15</v>
      </c>
      <c r="D48" t="s">
        <v>20</v>
      </c>
      <c r="E48" t="s">
        <v>22</v>
      </c>
      <c r="F48">
        <v>19029</v>
      </c>
      <c r="G48">
        <v>15655</v>
      </c>
      <c r="H48">
        <f t="shared" si="0"/>
        <v>3374</v>
      </c>
      <c r="I48" t="str">
        <f t="shared" si="1"/>
        <v>2024</v>
      </c>
      <c r="J48" t="str">
        <f t="shared" si="2"/>
        <v>03</v>
      </c>
    </row>
    <row r="49" spans="1:10" x14ac:dyDescent="0.3">
      <c r="A49">
        <v>1049</v>
      </c>
      <c r="B49">
        <v>45071</v>
      </c>
      <c r="C49" t="s">
        <v>13</v>
      </c>
      <c r="D49" t="s">
        <v>17</v>
      </c>
      <c r="E49" t="s">
        <v>25</v>
      </c>
      <c r="F49">
        <v>31685</v>
      </c>
      <c r="G49">
        <v>25546</v>
      </c>
      <c r="H49">
        <f t="shared" si="0"/>
        <v>6139</v>
      </c>
      <c r="I49" t="str">
        <f t="shared" si="1"/>
        <v>2023</v>
      </c>
      <c r="J49" t="str">
        <f t="shared" si="2"/>
        <v>05</v>
      </c>
    </row>
    <row r="50" spans="1:10" x14ac:dyDescent="0.3">
      <c r="A50">
        <v>1050</v>
      </c>
      <c r="B50">
        <v>45185</v>
      </c>
      <c r="C50" t="s">
        <v>14</v>
      </c>
      <c r="D50" t="s">
        <v>20</v>
      </c>
      <c r="E50" t="s">
        <v>22</v>
      </c>
      <c r="F50">
        <v>17097</v>
      </c>
      <c r="G50">
        <v>13511</v>
      </c>
      <c r="H50">
        <f t="shared" si="0"/>
        <v>3586</v>
      </c>
      <c r="I50" t="str">
        <f t="shared" si="1"/>
        <v>2023</v>
      </c>
      <c r="J50" t="str">
        <f t="shared" si="2"/>
        <v>09</v>
      </c>
    </row>
    <row r="51" spans="1:10" x14ac:dyDescent="0.3">
      <c r="A51">
        <v>1051</v>
      </c>
      <c r="B51">
        <v>44949</v>
      </c>
      <c r="C51" t="s">
        <v>9</v>
      </c>
      <c r="D51" t="s">
        <v>20</v>
      </c>
      <c r="E51" t="s">
        <v>21</v>
      </c>
      <c r="F51">
        <v>39335</v>
      </c>
      <c r="G51">
        <v>25507</v>
      </c>
      <c r="H51">
        <f t="shared" si="0"/>
        <v>13828</v>
      </c>
      <c r="I51" t="str">
        <f t="shared" si="1"/>
        <v>2023</v>
      </c>
      <c r="J51" t="str">
        <f t="shared" si="2"/>
        <v>01</v>
      </c>
    </row>
    <row r="52" spans="1:10" x14ac:dyDescent="0.3">
      <c r="A52">
        <v>1052</v>
      </c>
      <c r="B52">
        <v>45288</v>
      </c>
      <c r="C52" t="s">
        <v>16</v>
      </c>
      <c r="D52" t="s">
        <v>19</v>
      </c>
      <c r="E52" t="s">
        <v>22</v>
      </c>
      <c r="F52">
        <v>14862</v>
      </c>
      <c r="G52">
        <v>13130</v>
      </c>
      <c r="H52">
        <f t="shared" si="0"/>
        <v>1732</v>
      </c>
      <c r="I52" t="str">
        <f t="shared" si="1"/>
        <v>2023</v>
      </c>
      <c r="J52" t="str">
        <f t="shared" si="2"/>
        <v>12</v>
      </c>
    </row>
    <row r="53" spans="1:10" x14ac:dyDescent="0.3">
      <c r="A53">
        <v>1053</v>
      </c>
      <c r="B53">
        <v>45003</v>
      </c>
      <c r="C53" t="s">
        <v>11</v>
      </c>
      <c r="D53" t="s">
        <v>19</v>
      </c>
      <c r="E53" t="s">
        <v>25</v>
      </c>
      <c r="F53">
        <v>77420</v>
      </c>
      <c r="G53">
        <v>49891</v>
      </c>
      <c r="H53">
        <f t="shared" si="0"/>
        <v>27529</v>
      </c>
      <c r="I53" t="str">
        <f t="shared" si="1"/>
        <v>2023</v>
      </c>
      <c r="J53" t="str">
        <f t="shared" si="2"/>
        <v>03</v>
      </c>
    </row>
    <row r="54" spans="1:10" x14ac:dyDescent="0.3">
      <c r="A54">
        <v>1054</v>
      </c>
      <c r="B54">
        <v>45084</v>
      </c>
      <c r="C54" t="s">
        <v>10</v>
      </c>
      <c r="D54" t="s">
        <v>19</v>
      </c>
      <c r="E54" t="s">
        <v>25</v>
      </c>
      <c r="F54">
        <v>32535</v>
      </c>
      <c r="G54">
        <v>26178</v>
      </c>
      <c r="H54">
        <f t="shared" si="0"/>
        <v>6357</v>
      </c>
      <c r="I54" t="str">
        <f t="shared" si="1"/>
        <v>2023</v>
      </c>
      <c r="J54" t="str">
        <f t="shared" si="2"/>
        <v>06</v>
      </c>
    </row>
    <row r="55" spans="1:10" x14ac:dyDescent="0.3">
      <c r="A55">
        <v>1055</v>
      </c>
      <c r="B55">
        <v>45108</v>
      </c>
      <c r="C55" t="s">
        <v>11</v>
      </c>
      <c r="D55" t="s">
        <v>18</v>
      </c>
      <c r="E55" t="s">
        <v>23</v>
      </c>
      <c r="F55">
        <v>25257</v>
      </c>
      <c r="G55">
        <v>22168</v>
      </c>
      <c r="H55">
        <f t="shared" si="0"/>
        <v>3089</v>
      </c>
      <c r="I55" t="str">
        <f t="shared" si="1"/>
        <v>2023</v>
      </c>
      <c r="J55" t="str">
        <f t="shared" si="2"/>
        <v>07</v>
      </c>
    </row>
    <row r="56" spans="1:10" x14ac:dyDescent="0.3">
      <c r="A56">
        <v>1056</v>
      </c>
      <c r="B56">
        <v>45010</v>
      </c>
      <c r="C56" t="s">
        <v>15</v>
      </c>
      <c r="D56" t="s">
        <v>18</v>
      </c>
      <c r="E56" t="s">
        <v>22</v>
      </c>
      <c r="F56">
        <v>28509</v>
      </c>
      <c r="G56">
        <v>23405</v>
      </c>
      <c r="H56">
        <f t="shared" si="0"/>
        <v>5104</v>
      </c>
      <c r="I56" t="str">
        <f t="shared" si="1"/>
        <v>2023</v>
      </c>
      <c r="J56" t="str">
        <f t="shared" si="2"/>
        <v>03</v>
      </c>
    </row>
    <row r="57" spans="1:10" x14ac:dyDescent="0.3">
      <c r="A57">
        <v>1057</v>
      </c>
      <c r="B57">
        <v>45137</v>
      </c>
      <c r="C57" t="s">
        <v>12</v>
      </c>
      <c r="D57" t="s">
        <v>20</v>
      </c>
      <c r="E57" t="s">
        <v>21</v>
      </c>
      <c r="F57">
        <v>19168</v>
      </c>
      <c r="G57">
        <v>13700</v>
      </c>
      <c r="H57">
        <f t="shared" si="0"/>
        <v>5468</v>
      </c>
      <c r="I57" t="str">
        <f t="shared" si="1"/>
        <v>2023</v>
      </c>
      <c r="J57" t="str">
        <f t="shared" si="2"/>
        <v>07</v>
      </c>
    </row>
    <row r="58" spans="1:10" x14ac:dyDescent="0.3">
      <c r="A58">
        <v>1059</v>
      </c>
      <c r="B58">
        <v>45373</v>
      </c>
      <c r="C58" t="s">
        <v>12</v>
      </c>
      <c r="D58" t="s">
        <v>17</v>
      </c>
      <c r="E58" t="s">
        <v>22</v>
      </c>
      <c r="F58">
        <v>30313</v>
      </c>
      <c r="G58">
        <v>21811</v>
      </c>
      <c r="H58">
        <f t="shared" si="0"/>
        <v>8502</v>
      </c>
      <c r="I58" t="str">
        <f t="shared" si="1"/>
        <v>2024</v>
      </c>
      <c r="J58" t="str">
        <f t="shared" si="2"/>
        <v>03</v>
      </c>
    </row>
    <row r="59" spans="1:10" x14ac:dyDescent="0.3">
      <c r="A59">
        <v>1060</v>
      </c>
      <c r="B59">
        <v>44962</v>
      </c>
      <c r="C59" t="s">
        <v>7</v>
      </c>
      <c r="D59" t="s">
        <v>20</v>
      </c>
      <c r="E59" t="s">
        <v>23</v>
      </c>
      <c r="F59">
        <v>57386</v>
      </c>
      <c r="G59">
        <v>46130</v>
      </c>
      <c r="H59">
        <f t="shared" si="0"/>
        <v>11256</v>
      </c>
      <c r="I59" t="str">
        <f t="shared" si="1"/>
        <v>2023</v>
      </c>
      <c r="J59" t="str">
        <f t="shared" si="2"/>
        <v>02</v>
      </c>
    </row>
    <row r="60" spans="1:10" x14ac:dyDescent="0.3">
      <c r="A60">
        <v>1061</v>
      </c>
      <c r="B60">
        <v>45096</v>
      </c>
      <c r="C60" t="s">
        <v>9</v>
      </c>
      <c r="D60" t="s">
        <v>19</v>
      </c>
      <c r="E60" t="s">
        <v>25</v>
      </c>
      <c r="F60">
        <v>28405</v>
      </c>
      <c r="G60">
        <v>21990</v>
      </c>
      <c r="H60">
        <f t="shared" si="0"/>
        <v>6415</v>
      </c>
      <c r="I60" t="str">
        <f t="shared" si="1"/>
        <v>2023</v>
      </c>
      <c r="J60" t="str">
        <f t="shared" si="2"/>
        <v>06</v>
      </c>
    </row>
    <row r="61" spans="1:10" x14ac:dyDescent="0.3">
      <c r="A61">
        <v>1062</v>
      </c>
      <c r="B61">
        <v>44946</v>
      </c>
      <c r="C61" t="s">
        <v>8</v>
      </c>
      <c r="D61" t="s">
        <v>18</v>
      </c>
      <c r="E61" t="s">
        <v>25</v>
      </c>
      <c r="F61">
        <v>46114</v>
      </c>
      <c r="G61">
        <v>33705</v>
      </c>
      <c r="H61">
        <f t="shared" si="0"/>
        <v>12409</v>
      </c>
      <c r="I61" t="str">
        <f t="shared" si="1"/>
        <v>2023</v>
      </c>
      <c r="J61" t="str">
        <f t="shared" si="2"/>
        <v>01</v>
      </c>
    </row>
    <row r="62" spans="1:10" x14ac:dyDescent="0.3">
      <c r="A62">
        <v>1063</v>
      </c>
      <c r="B62">
        <v>44986</v>
      </c>
      <c r="C62" t="s">
        <v>16</v>
      </c>
      <c r="D62" t="s">
        <v>17</v>
      </c>
      <c r="E62" t="s">
        <v>25</v>
      </c>
      <c r="F62">
        <v>10817</v>
      </c>
      <c r="G62">
        <v>8790</v>
      </c>
      <c r="H62">
        <f t="shared" si="0"/>
        <v>2027</v>
      </c>
      <c r="I62" t="str">
        <f t="shared" si="1"/>
        <v>2023</v>
      </c>
      <c r="J62" t="str">
        <f t="shared" si="2"/>
        <v>03</v>
      </c>
    </row>
    <row r="63" spans="1:10" x14ac:dyDescent="0.3">
      <c r="A63">
        <v>1065</v>
      </c>
      <c r="B63">
        <v>45096</v>
      </c>
      <c r="C63" t="s">
        <v>13</v>
      </c>
      <c r="D63" t="s">
        <v>20</v>
      </c>
      <c r="E63" t="s">
        <v>22</v>
      </c>
      <c r="F63">
        <v>44363</v>
      </c>
      <c r="G63">
        <v>33367</v>
      </c>
      <c r="H63">
        <f t="shared" si="0"/>
        <v>10996</v>
      </c>
      <c r="I63" t="str">
        <f t="shared" si="1"/>
        <v>2023</v>
      </c>
      <c r="J63" t="str">
        <f t="shared" si="2"/>
        <v>06</v>
      </c>
    </row>
    <row r="64" spans="1:10" x14ac:dyDescent="0.3">
      <c r="A64">
        <v>1066</v>
      </c>
      <c r="B64">
        <v>45094</v>
      </c>
      <c r="C64" t="s">
        <v>16</v>
      </c>
      <c r="D64" t="s">
        <v>20</v>
      </c>
      <c r="E64" t="s">
        <v>23</v>
      </c>
      <c r="F64">
        <v>21683</v>
      </c>
      <c r="G64">
        <v>14257</v>
      </c>
      <c r="H64">
        <f t="shared" si="0"/>
        <v>7426</v>
      </c>
      <c r="I64" t="str">
        <f t="shared" si="1"/>
        <v>2023</v>
      </c>
      <c r="J64" t="str">
        <f t="shared" si="2"/>
        <v>06</v>
      </c>
    </row>
    <row r="65" spans="1:10" x14ac:dyDescent="0.3">
      <c r="A65">
        <v>1067</v>
      </c>
      <c r="B65">
        <v>45121</v>
      </c>
      <c r="C65" t="s">
        <v>15</v>
      </c>
      <c r="D65" t="s">
        <v>20</v>
      </c>
      <c r="E65" t="s">
        <v>24</v>
      </c>
      <c r="F65">
        <v>76819</v>
      </c>
      <c r="G65">
        <v>65305</v>
      </c>
      <c r="H65">
        <f t="shared" si="0"/>
        <v>11514</v>
      </c>
      <c r="I65" t="str">
        <f t="shared" si="1"/>
        <v>2023</v>
      </c>
      <c r="J65" t="str">
        <f t="shared" si="2"/>
        <v>07</v>
      </c>
    </row>
    <row r="66" spans="1:10" x14ac:dyDescent="0.3">
      <c r="A66">
        <v>1068</v>
      </c>
      <c r="B66">
        <v>45034</v>
      </c>
      <c r="C66" t="s">
        <v>16</v>
      </c>
      <c r="D66" t="s">
        <v>20</v>
      </c>
      <c r="E66" t="s">
        <v>24</v>
      </c>
      <c r="F66">
        <v>62905</v>
      </c>
      <c r="G66">
        <v>46087</v>
      </c>
      <c r="H66">
        <f t="shared" ref="H66:H129" si="3">F66-G66</f>
        <v>16818</v>
      </c>
      <c r="I66" t="str">
        <f t="shared" ref="I66:I129" si="4">TEXT(B66,"yyyy")</f>
        <v>2023</v>
      </c>
      <c r="J66" t="str">
        <f t="shared" ref="J66:J129" si="5">TEXT(B66,"mm")</f>
        <v>04</v>
      </c>
    </row>
    <row r="67" spans="1:10" x14ac:dyDescent="0.3">
      <c r="A67">
        <v>1069</v>
      </c>
      <c r="B67">
        <v>45169</v>
      </c>
      <c r="C67" t="s">
        <v>15</v>
      </c>
      <c r="D67" t="s">
        <v>19</v>
      </c>
      <c r="E67" t="s">
        <v>25</v>
      </c>
      <c r="F67">
        <v>72561</v>
      </c>
      <c r="G67">
        <v>57987</v>
      </c>
      <c r="H67">
        <f t="shared" si="3"/>
        <v>14574</v>
      </c>
      <c r="I67" t="str">
        <f t="shared" si="4"/>
        <v>2023</v>
      </c>
      <c r="J67" t="str">
        <f t="shared" si="5"/>
        <v>08</v>
      </c>
    </row>
    <row r="68" spans="1:10" x14ac:dyDescent="0.3">
      <c r="A68">
        <v>1070</v>
      </c>
      <c r="B68">
        <v>44974</v>
      </c>
      <c r="C68" t="s">
        <v>12</v>
      </c>
      <c r="D68" t="s">
        <v>20</v>
      </c>
      <c r="E68" t="s">
        <v>21</v>
      </c>
      <c r="F68">
        <v>31100</v>
      </c>
      <c r="G68">
        <v>20034</v>
      </c>
      <c r="H68">
        <f t="shared" si="3"/>
        <v>11066</v>
      </c>
      <c r="I68" t="str">
        <f t="shared" si="4"/>
        <v>2023</v>
      </c>
      <c r="J68" t="str">
        <f t="shared" si="5"/>
        <v>02</v>
      </c>
    </row>
    <row r="69" spans="1:10" x14ac:dyDescent="0.3">
      <c r="A69">
        <v>1072</v>
      </c>
      <c r="B69">
        <v>45294</v>
      </c>
      <c r="C69" t="s">
        <v>16</v>
      </c>
      <c r="D69" t="s">
        <v>18</v>
      </c>
      <c r="E69" t="s">
        <v>24</v>
      </c>
      <c r="F69">
        <v>36979</v>
      </c>
      <c r="G69">
        <v>23824</v>
      </c>
      <c r="H69">
        <f t="shared" si="3"/>
        <v>13155</v>
      </c>
      <c r="I69" t="str">
        <f t="shared" si="4"/>
        <v>2024</v>
      </c>
      <c r="J69" t="str">
        <f t="shared" si="5"/>
        <v>01</v>
      </c>
    </row>
    <row r="70" spans="1:10" x14ac:dyDescent="0.3">
      <c r="A70">
        <v>1073</v>
      </c>
      <c r="B70">
        <v>45311</v>
      </c>
      <c r="C70" t="s">
        <v>8</v>
      </c>
      <c r="D70" t="s">
        <v>18</v>
      </c>
      <c r="E70" t="s">
        <v>21</v>
      </c>
      <c r="F70">
        <v>28053</v>
      </c>
      <c r="G70">
        <v>23599</v>
      </c>
      <c r="H70">
        <f t="shared" si="3"/>
        <v>4454</v>
      </c>
      <c r="I70" t="str">
        <f t="shared" si="4"/>
        <v>2024</v>
      </c>
      <c r="J70" t="str">
        <f t="shared" si="5"/>
        <v>01</v>
      </c>
    </row>
    <row r="71" spans="1:10" x14ac:dyDescent="0.3">
      <c r="A71">
        <v>1074</v>
      </c>
      <c r="B71">
        <v>45164</v>
      </c>
      <c r="C71" t="s">
        <v>9</v>
      </c>
      <c r="D71" t="s">
        <v>17</v>
      </c>
      <c r="E71" t="s">
        <v>22</v>
      </c>
      <c r="F71">
        <v>64829</v>
      </c>
      <c r="G71">
        <v>41490</v>
      </c>
      <c r="H71">
        <f t="shared" si="3"/>
        <v>23339</v>
      </c>
      <c r="I71" t="str">
        <f t="shared" si="4"/>
        <v>2023</v>
      </c>
      <c r="J71" t="str">
        <f t="shared" si="5"/>
        <v>08</v>
      </c>
    </row>
    <row r="72" spans="1:10" x14ac:dyDescent="0.3">
      <c r="A72">
        <v>1075</v>
      </c>
      <c r="B72">
        <v>45198</v>
      </c>
      <c r="C72" t="s">
        <v>11</v>
      </c>
      <c r="D72" t="s">
        <v>20</v>
      </c>
      <c r="E72" t="s">
        <v>24</v>
      </c>
      <c r="F72">
        <v>71162</v>
      </c>
      <c r="G72">
        <v>51807</v>
      </c>
      <c r="H72">
        <f t="shared" si="3"/>
        <v>19355</v>
      </c>
      <c r="I72" t="str">
        <f t="shared" si="4"/>
        <v>2023</v>
      </c>
      <c r="J72" t="str">
        <f t="shared" si="5"/>
        <v>09</v>
      </c>
    </row>
    <row r="73" spans="1:10" x14ac:dyDescent="0.3">
      <c r="A73">
        <v>1076</v>
      </c>
      <c r="B73">
        <v>45155</v>
      </c>
      <c r="C73" t="s">
        <v>15</v>
      </c>
      <c r="D73" t="s">
        <v>18</v>
      </c>
      <c r="E73" t="s">
        <v>24</v>
      </c>
      <c r="F73">
        <v>38972</v>
      </c>
      <c r="G73">
        <v>32172</v>
      </c>
      <c r="H73">
        <f t="shared" si="3"/>
        <v>6800</v>
      </c>
      <c r="I73" t="str">
        <f t="shared" si="4"/>
        <v>2023</v>
      </c>
      <c r="J73" t="str">
        <f t="shared" si="5"/>
        <v>08</v>
      </c>
    </row>
    <row r="74" spans="1:10" x14ac:dyDescent="0.3">
      <c r="A74">
        <v>1077</v>
      </c>
      <c r="B74">
        <v>45068</v>
      </c>
      <c r="C74" t="s">
        <v>11</v>
      </c>
      <c r="D74" t="s">
        <v>18</v>
      </c>
      <c r="E74" t="s">
        <v>21</v>
      </c>
      <c r="F74">
        <v>40992</v>
      </c>
      <c r="G74">
        <v>30004</v>
      </c>
      <c r="H74">
        <f t="shared" si="3"/>
        <v>10988</v>
      </c>
      <c r="I74" t="str">
        <f t="shared" si="4"/>
        <v>2023</v>
      </c>
      <c r="J74" t="str">
        <f t="shared" si="5"/>
        <v>05</v>
      </c>
    </row>
    <row r="75" spans="1:10" x14ac:dyDescent="0.3">
      <c r="A75">
        <v>1078</v>
      </c>
      <c r="B75">
        <v>45047</v>
      </c>
      <c r="C75" t="s">
        <v>7</v>
      </c>
      <c r="D75" t="s">
        <v>20</v>
      </c>
      <c r="E75" t="s">
        <v>25</v>
      </c>
      <c r="F75">
        <v>75798</v>
      </c>
      <c r="G75">
        <v>47311</v>
      </c>
      <c r="H75">
        <f t="shared" si="3"/>
        <v>28487</v>
      </c>
      <c r="I75" t="str">
        <f t="shared" si="4"/>
        <v>2023</v>
      </c>
      <c r="J75" t="str">
        <f t="shared" si="5"/>
        <v>05</v>
      </c>
    </row>
    <row r="76" spans="1:10" x14ac:dyDescent="0.3">
      <c r="A76">
        <v>1079</v>
      </c>
      <c r="B76">
        <v>45123</v>
      </c>
      <c r="C76" t="s">
        <v>15</v>
      </c>
      <c r="D76" t="s">
        <v>17</v>
      </c>
      <c r="E76" t="s">
        <v>22</v>
      </c>
      <c r="F76">
        <v>59377</v>
      </c>
      <c r="G76">
        <v>42886</v>
      </c>
      <c r="H76">
        <f t="shared" si="3"/>
        <v>16491</v>
      </c>
      <c r="I76" t="str">
        <f t="shared" si="4"/>
        <v>2023</v>
      </c>
      <c r="J76" t="str">
        <f t="shared" si="5"/>
        <v>07</v>
      </c>
    </row>
    <row r="77" spans="1:10" x14ac:dyDescent="0.3">
      <c r="A77">
        <v>1080</v>
      </c>
      <c r="B77">
        <v>45139</v>
      </c>
      <c r="C77" t="s">
        <v>9</v>
      </c>
      <c r="D77" t="s">
        <v>17</v>
      </c>
      <c r="E77" t="s">
        <v>24</v>
      </c>
      <c r="F77">
        <v>56049</v>
      </c>
      <c r="G77">
        <v>48843</v>
      </c>
      <c r="H77">
        <f t="shared" si="3"/>
        <v>7206</v>
      </c>
      <c r="I77" t="str">
        <f t="shared" si="4"/>
        <v>2023</v>
      </c>
      <c r="J77" t="str">
        <f t="shared" si="5"/>
        <v>08</v>
      </c>
    </row>
    <row r="78" spans="1:10" x14ac:dyDescent="0.3">
      <c r="A78">
        <v>1081</v>
      </c>
      <c r="B78">
        <v>45283</v>
      </c>
      <c r="C78" t="s">
        <v>9</v>
      </c>
      <c r="D78" t="s">
        <v>18</v>
      </c>
      <c r="E78" t="s">
        <v>24</v>
      </c>
      <c r="F78">
        <v>5772</v>
      </c>
      <c r="G78">
        <v>5095</v>
      </c>
      <c r="H78">
        <f t="shared" si="3"/>
        <v>677</v>
      </c>
      <c r="I78" t="str">
        <f t="shared" si="4"/>
        <v>2023</v>
      </c>
      <c r="J78" t="str">
        <f t="shared" si="5"/>
        <v>12</v>
      </c>
    </row>
    <row r="79" spans="1:10" x14ac:dyDescent="0.3">
      <c r="A79">
        <v>1082</v>
      </c>
      <c r="B79">
        <v>45126</v>
      </c>
      <c r="C79" t="s">
        <v>16</v>
      </c>
      <c r="D79" t="s">
        <v>17</v>
      </c>
      <c r="E79" t="s">
        <v>24</v>
      </c>
      <c r="F79">
        <v>33760</v>
      </c>
      <c r="G79">
        <v>23020</v>
      </c>
      <c r="H79">
        <f t="shared" si="3"/>
        <v>10740</v>
      </c>
      <c r="I79" t="str">
        <f t="shared" si="4"/>
        <v>2023</v>
      </c>
      <c r="J79" t="str">
        <f t="shared" si="5"/>
        <v>07</v>
      </c>
    </row>
    <row r="80" spans="1:10" x14ac:dyDescent="0.3">
      <c r="A80">
        <v>1083</v>
      </c>
      <c r="B80">
        <v>45126</v>
      </c>
      <c r="C80" t="s">
        <v>10</v>
      </c>
      <c r="D80" t="s">
        <v>18</v>
      </c>
      <c r="E80" t="s">
        <v>21</v>
      </c>
      <c r="F80">
        <v>66261</v>
      </c>
      <c r="G80">
        <v>58035</v>
      </c>
      <c r="H80">
        <f t="shared" si="3"/>
        <v>8226</v>
      </c>
      <c r="I80" t="str">
        <f t="shared" si="4"/>
        <v>2023</v>
      </c>
      <c r="J80" t="str">
        <f t="shared" si="5"/>
        <v>07</v>
      </c>
    </row>
    <row r="81" spans="1:10" x14ac:dyDescent="0.3">
      <c r="A81">
        <v>1084</v>
      </c>
      <c r="B81">
        <v>45200</v>
      </c>
      <c r="C81" t="s">
        <v>9</v>
      </c>
      <c r="D81" t="s">
        <v>18</v>
      </c>
      <c r="E81" t="s">
        <v>23</v>
      </c>
      <c r="F81">
        <v>78975</v>
      </c>
      <c r="G81">
        <v>63093</v>
      </c>
      <c r="H81">
        <f t="shared" si="3"/>
        <v>15882</v>
      </c>
      <c r="I81" t="str">
        <f t="shared" si="4"/>
        <v>2023</v>
      </c>
      <c r="J81" t="str">
        <f t="shared" si="5"/>
        <v>10</v>
      </c>
    </row>
    <row r="82" spans="1:10" x14ac:dyDescent="0.3">
      <c r="A82">
        <v>1085</v>
      </c>
      <c r="B82">
        <v>45146</v>
      </c>
      <c r="C82" t="s">
        <v>15</v>
      </c>
      <c r="D82" t="s">
        <v>18</v>
      </c>
      <c r="E82" t="s">
        <v>21</v>
      </c>
      <c r="F82">
        <v>11590</v>
      </c>
      <c r="G82">
        <v>7858</v>
      </c>
      <c r="H82">
        <f t="shared" si="3"/>
        <v>3732</v>
      </c>
      <c r="I82" t="str">
        <f t="shared" si="4"/>
        <v>2023</v>
      </c>
      <c r="J82" t="str">
        <f t="shared" si="5"/>
        <v>08</v>
      </c>
    </row>
    <row r="83" spans="1:10" x14ac:dyDescent="0.3">
      <c r="A83">
        <v>1086</v>
      </c>
      <c r="B83">
        <v>45159</v>
      </c>
      <c r="C83" t="s">
        <v>10</v>
      </c>
      <c r="D83" t="s">
        <v>20</v>
      </c>
      <c r="E83" t="s">
        <v>24</v>
      </c>
      <c r="F83">
        <v>41471</v>
      </c>
      <c r="G83">
        <v>34238</v>
      </c>
      <c r="H83">
        <f t="shared" si="3"/>
        <v>7233</v>
      </c>
      <c r="I83" t="str">
        <f t="shared" si="4"/>
        <v>2023</v>
      </c>
      <c r="J83" t="str">
        <f t="shared" si="5"/>
        <v>08</v>
      </c>
    </row>
    <row r="84" spans="1:10" x14ac:dyDescent="0.3">
      <c r="A84">
        <v>1087</v>
      </c>
      <c r="B84">
        <v>45056</v>
      </c>
      <c r="C84" t="s">
        <v>8</v>
      </c>
      <c r="D84" t="s">
        <v>18</v>
      </c>
      <c r="E84" t="s">
        <v>22</v>
      </c>
      <c r="F84">
        <v>75702</v>
      </c>
      <c r="G84">
        <v>46604</v>
      </c>
      <c r="H84">
        <f t="shared" si="3"/>
        <v>29098</v>
      </c>
      <c r="I84" t="str">
        <f t="shared" si="4"/>
        <v>2023</v>
      </c>
      <c r="J84" t="str">
        <f t="shared" si="5"/>
        <v>05</v>
      </c>
    </row>
    <row r="85" spans="1:10" x14ac:dyDescent="0.3">
      <c r="A85">
        <v>1088</v>
      </c>
      <c r="B85">
        <v>45041</v>
      </c>
      <c r="C85" t="s">
        <v>8</v>
      </c>
      <c r="D85" t="s">
        <v>19</v>
      </c>
      <c r="E85" t="s">
        <v>22</v>
      </c>
      <c r="F85">
        <v>37411</v>
      </c>
      <c r="G85">
        <v>24684</v>
      </c>
      <c r="H85">
        <f t="shared" si="3"/>
        <v>12727</v>
      </c>
      <c r="I85" t="str">
        <f t="shared" si="4"/>
        <v>2023</v>
      </c>
      <c r="J85" t="str">
        <f t="shared" si="5"/>
        <v>04</v>
      </c>
    </row>
    <row r="86" spans="1:10" x14ac:dyDescent="0.3">
      <c r="A86">
        <v>1090</v>
      </c>
      <c r="B86">
        <v>45038</v>
      </c>
      <c r="C86" t="s">
        <v>14</v>
      </c>
      <c r="D86" t="s">
        <v>20</v>
      </c>
      <c r="E86" t="s">
        <v>25</v>
      </c>
      <c r="F86">
        <v>26992</v>
      </c>
      <c r="G86">
        <v>21101</v>
      </c>
      <c r="H86">
        <f t="shared" si="3"/>
        <v>5891</v>
      </c>
      <c r="I86" t="str">
        <f t="shared" si="4"/>
        <v>2023</v>
      </c>
      <c r="J86" t="str">
        <f t="shared" si="5"/>
        <v>04</v>
      </c>
    </row>
    <row r="87" spans="1:10" x14ac:dyDescent="0.3">
      <c r="A87">
        <v>1091</v>
      </c>
      <c r="B87">
        <v>45294</v>
      </c>
      <c r="C87" t="s">
        <v>8</v>
      </c>
      <c r="D87" t="s">
        <v>17</v>
      </c>
      <c r="E87" t="s">
        <v>25</v>
      </c>
      <c r="F87">
        <v>19168</v>
      </c>
      <c r="G87">
        <v>14828</v>
      </c>
      <c r="H87">
        <f t="shared" si="3"/>
        <v>4340</v>
      </c>
      <c r="I87" t="str">
        <f t="shared" si="4"/>
        <v>2024</v>
      </c>
      <c r="J87" t="str">
        <f t="shared" si="5"/>
        <v>01</v>
      </c>
    </row>
    <row r="88" spans="1:10" x14ac:dyDescent="0.3">
      <c r="A88">
        <v>1092</v>
      </c>
      <c r="B88">
        <v>45221</v>
      </c>
      <c r="C88" t="s">
        <v>16</v>
      </c>
      <c r="D88" t="s">
        <v>18</v>
      </c>
      <c r="E88" t="s">
        <v>21</v>
      </c>
      <c r="F88">
        <v>14961</v>
      </c>
      <c r="G88">
        <v>11634</v>
      </c>
      <c r="H88">
        <f t="shared" si="3"/>
        <v>3327</v>
      </c>
      <c r="I88" t="str">
        <f t="shared" si="4"/>
        <v>2023</v>
      </c>
      <c r="J88" t="str">
        <f t="shared" si="5"/>
        <v>10</v>
      </c>
    </row>
    <row r="89" spans="1:10" x14ac:dyDescent="0.3">
      <c r="A89">
        <v>1093</v>
      </c>
      <c r="B89">
        <v>45051</v>
      </c>
      <c r="C89" t="s">
        <v>8</v>
      </c>
      <c r="D89" t="s">
        <v>20</v>
      </c>
      <c r="E89" t="s">
        <v>23</v>
      </c>
      <c r="F89">
        <v>20866</v>
      </c>
      <c r="G89">
        <v>17503</v>
      </c>
      <c r="H89">
        <f t="shared" si="3"/>
        <v>3363</v>
      </c>
      <c r="I89" t="str">
        <f t="shared" si="4"/>
        <v>2023</v>
      </c>
      <c r="J89" t="str">
        <f t="shared" si="5"/>
        <v>05</v>
      </c>
    </row>
    <row r="90" spans="1:10" x14ac:dyDescent="0.3">
      <c r="A90">
        <v>1094</v>
      </c>
      <c r="B90">
        <v>44948</v>
      </c>
      <c r="C90" t="s">
        <v>10</v>
      </c>
      <c r="D90" t="s">
        <v>18</v>
      </c>
      <c r="E90" t="s">
        <v>25</v>
      </c>
      <c r="F90">
        <v>14038</v>
      </c>
      <c r="G90">
        <v>10553</v>
      </c>
      <c r="H90">
        <f t="shared" si="3"/>
        <v>3485</v>
      </c>
      <c r="I90" t="str">
        <f t="shared" si="4"/>
        <v>2023</v>
      </c>
      <c r="J90" t="str">
        <f t="shared" si="5"/>
        <v>01</v>
      </c>
    </row>
    <row r="91" spans="1:10" x14ac:dyDescent="0.3">
      <c r="A91">
        <v>1095</v>
      </c>
      <c r="B91">
        <v>45361</v>
      </c>
      <c r="C91" t="s">
        <v>16</v>
      </c>
      <c r="D91" t="s">
        <v>18</v>
      </c>
      <c r="E91" t="s">
        <v>22</v>
      </c>
      <c r="F91">
        <v>61822</v>
      </c>
      <c r="G91">
        <v>54912</v>
      </c>
      <c r="H91">
        <f t="shared" si="3"/>
        <v>6910</v>
      </c>
      <c r="I91" t="str">
        <f t="shared" si="4"/>
        <v>2024</v>
      </c>
      <c r="J91" t="str">
        <f t="shared" si="5"/>
        <v>03</v>
      </c>
    </row>
    <row r="92" spans="1:10" x14ac:dyDescent="0.3">
      <c r="A92">
        <v>1096</v>
      </c>
      <c r="B92">
        <v>45351</v>
      </c>
      <c r="C92" t="s">
        <v>14</v>
      </c>
      <c r="D92" t="s">
        <v>17</v>
      </c>
      <c r="E92" t="s">
        <v>24</v>
      </c>
      <c r="F92">
        <v>28086</v>
      </c>
      <c r="G92">
        <v>23034</v>
      </c>
      <c r="H92">
        <f t="shared" si="3"/>
        <v>5052</v>
      </c>
      <c r="I92" t="str">
        <f t="shared" si="4"/>
        <v>2024</v>
      </c>
      <c r="J92" t="str">
        <f t="shared" si="5"/>
        <v>02</v>
      </c>
    </row>
    <row r="93" spans="1:10" x14ac:dyDescent="0.3">
      <c r="A93">
        <v>1097</v>
      </c>
      <c r="B93">
        <v>45065</v>
      </c>
      <c r="C93" t="s">
        <v>13</v>
      </c>
      <c r="D93" t="s">
        <v>18</v>
      </c>
      <c r="E93" t="s">
        <v>24</v>
      </c>
      <c r="F93">
        <v>62091</v>
      </c>
      <c r="G93">
        <v>52635</v>
      </c>
      <c r="H93">
        <f t="shared" si="3"/>
        <v>9456</v>
      </c>
      <c r="I93" t="str">
        <f t="shared" si="4"/>
        <v>2023</v>
      </c>
      <c r="J93" t="str">
        <f t="shared" si="5"/>
        <v>05</v>
      </c>
    </row>
    <row r="94" spans="1:10" x14ac:dyDescent="0.3">
      <c r="A94">
        <v>1098</v>
      </c>
      <c r="B94">
        <v>45092</v>
      </c>
      <c r="C94" t="s">
        <v>12</v>
      </c>
      <c r="D94" t="s">
        <v>19</v>
      </c>
      <c r="E94" t="s">
        <v>25</v>
      </c>
      <c r="F94">
        <v>64087</v>
      </c>
      <c r="G94">
        <v>43140</v>
      </c>
      <c r="H94">
        <f t="shared" si="3"/>
        <v>20947</v>
      </c>
      <c r="I94" t="str">
        <f t="shared" si="4"/>
        <v>2023</v>
      </c>
      <c r="J94" t="str">
        <f t="shared" si="5"/>
        <v>06</v>
      </c>
    </row>
    <row r="95" spans="1:10" x14ac:dyDescent="0.3">
      <c r="A95">
        <v>1099</v>
      </c>
      <c r="B95">
        <v>45239</v>
      </c>
      <c r="C95" t="s">
        <v>16</v>
      </c>
      <c r="D95" t="s">
        <v>20</v>
      </c>
      <c r="E95" t="s">
        <v>22</v>
      </c>
      <c r="F95">
        <v>69789</v>
      </c>
      <c r="G95">
        <v>59689</v>
      </c>
      <c r="H95">
        <f t="shared" si="3"/>
        <v>10100</v>
      </c>
      <c r="I95" t="str">
        <f t="shared" si="4"/>
        <v>2023</v>
      </c>
      <c r="J95" t="str">
        <f t="shared" si="5"/>
        <v>11</v>
      </c>
    </row>
    <row r="96" spans="1:10" x14ac:dyDescent="0.3">
      <c r="A96">
        <v>1100</v>
      </c>
      <c r="B96">
        <v>45035</v>
      </c>
      <c r="C96" t="s">
        <v>10</v>
      </c>
      <c r="D96" t="s">
        <v>20</v>
      </c>
      <c r="E96" t="s">
        <v>25</v>
      </c>
      <c r="F96">
        <v>41655</v>
      </c>
      <c r="G96">
        <v>35993</v>
      </c>
      <c r="H96">
        <f t="shared" si="3"/>
        <v>5662</v>
      </c>
      <c r="I96" t="str">
        <f t="shared" si="4"/>
        <v>2023</v>
      </c>
      <c r="J96" t="str">
        <f t="shared" si="5"/>
        <v>04</v>
      </c>
    </row>
    <row r="97" spans="1:10" x14ac:dyDescent="0.3">
      <c r="A97">
        <v>1101</v>
      </c>
      <c r="B97">
        <v>45068</v>
      </c>
      <c r="C97" t="s">
        <v>11</v>
      </c>
      <c r="D97" t="s">
        <v>19</v>
      </c>
      <c r="E97" t="s">
        <v>23</v>
      </c>
      <c r="F97">
        <v>30042</v>
      </c>
      <c r="G97">
        <v>18796</v>
      </c>
      <c r="H97">
        <f t="shared" si="3"/>
        <v>11246</v>
      </c>
      <c r="I97" t="str">
        <f t="shared" si="4"/>
        <v>2023</v>
      </c>
      <c r="J97" t="str">
        <f t="shared" si="5"/>
        <v>05</v>
      </c>
    </row>
    <row r="98" spans="1:10" x14ac:dyDescent="0.3">
      <c r="A98">
        <v>1102</v>
      </c>
      <c r="B98">
        <v>45177</v>
      </c>
      <c r="C98" t="s">
        <v>11</v>
      </c>
      <c r="D98" t="s">
        <v>17</v>
      </c>
      <c r="E98" t="s">
        <v>24</v>
      </c>
      <c r="F98">
        <v>69332</v>
      </c>
      <c r="G98">
        <v>50921</v>
      </c>
      <c r="H98">
        <f t="shared" si="3"/>
        <v>18411</v>
      </c>
      <c r="I98" t="str">
        <f t="shared" si="4"/>
        <v>2023</v>
      </c>
      <c r="J98" t="str">
        <f t="shared" si="5"/>
        <v>09</v>
      </c>
    </row>
    <row r="99" spans="1:10" x14ac:dyDescent="0.3">
      <c r="A99">
        <v>1104</v>
      </c>
      <c r="B99">
        <v>45169</v>
      </c>
      <c r="C99" t="s">
        <v>11</v>
      </c>
      <c r="D99" t="s">
        <v>20</v>
      </c>
      <c r="E99" t="s">
        <v>24</v>
      </c>
      <c r="F99">
        <v>77140</v>
      </c>
      <c r="G99">
        <v>53939</v>
      </c>
      <c r="H99">
        <f t="shared" si="3"/>
        <v>23201</v>
      </c>
      <c r="I99" t="str">
        <f t="shared" si="4"/>
        <v>2023</v>
      </c>
      <c r="J99" t="str">
        <f t="shared" si="5"/>
        <v>08</v>
      </c>
    </row>
    <row r="100" spans="1:10" x14ac:dyDescent="0.3">
      <c r="A100">
        <v>1105</v>
      </c>
      <c r="B100">
        <v>45065</v>
      </c>
      <c r="C100" t="s">
        <v>7</v>
      </c>
      <c r="D100" t="s">
        <v>20</v>
      </c>
      <c r="E100" t="s">
        <v>21</v>
      </c>
      <c r="F100">
        <v>20814</v>
      </c>
      <c r="G100">
        <v>16992</v>
      </c>
      <c r="H100">
        <f t="shared" si="3"/>
        <v>3822</v>
      </c>
      <c r="I100" t="str">
        <f t="shared" si="4"/>
        <v>2023</v>
      </c>
      <c r="J100" t="str">
        <f t="shared" si="5"/>
        <v>05</v>
      </c>
    </row>
    <row r="101" spans="1:10" x14ac:dyDescent="0.3">
      <c r="A101">
        <v>1106</v>
      </c>
      <c r="B101">
        <v>45307</v>
      </c>
      <c r="C101" t="s">
        <v>11</v>
      </c>
      <c r="D101" t="s">
        <v>17</v>
      </c>
      <c r="E101" t="s">
        <v>21</v>
      </c>
      <c r="F101">
        <v>33361</v>
      </c>
      <c r="G101">
        <v>27408</v>
      </c>
      <c r="H101">
        <f t="shared" si="3"/>
        <v>5953</v>
      </c>
      <c r="I101" t="str">
        <f t="shared" si="4"/>
        <v>2024</v>
      </c>
      <c r="J101" t="str">
        <f t="shared" si="5"/>
        <v>01</v>
      </c>
    </row>
    <row r="102" spans="1:10" x14ac:dyDescent="0.3">
      <c r="A102">
        <v>1107</v>
      </c>
      <c r="B102">
        <v>45228</v>
      </c>
      <c r="C102" t="s">
        <v>11</v>
      </c>
      <c r="D102" t="s">
        <v>20</v>
      </c>
      <c r="E102" t="s">
        <v>22</v>
      </c>
      <c r="F102">
        <v>30443</v>
      </c>
      <c r="G102">
        <v>20971</v>
      </c>
      <c r="H102">
        <f t="shared" si="3"/>
        <v>9472</v>
      </c>
      <c r="I102" t="str">
        <f t="shared" si="4"/>
        <v>2023</v>
      </c>
      <c r="J102" t="str">
        <f t="shared" si="5"/>
        <v>10</v>
      </c>
    </row>
    <row r="103" spans="1:10" x14ac:dyDescent="0.3">
      <c r="A103">
        <v>1108</v>
      </c>
      <c r="B103">
        <v>45081</v>
      </c>
      <c r="C103" t="s">
        <v>9</v>
      </c>
      <c r="D103" t="s">
        <v>17</v>
      </c>
      <c r="E103" t="s">
        <v>25</v>
      </c>
      <c r="F103">
        <v>10965</v>
      </c>
      <c r="G103">
        <v>9783</v>
      </c>
      <c r="H103">
        <f t="shared" si="3"/>
        <v>1182</v>
      </c>
      <c r="I103" t="str">
        <f t="shared" si="4"/>
        <v>2023</v>
      </c>
      <c r="J103" t="str">
        <f t="shared" si="5"/>
        <v>06</v>
      </c>
    </row>
    <row r="104" spans="1:10" x14ac:dyDescent="0.3">
      <c r="A104">
        <v>1109</v>
      </c>
      <c r="B104">
        <v>45284</v>
      </c>
      <c r="C104" t="s">
        <v>15</v>
      </c>
      <c r="D104" t="s">
        <v>18</v>
      </c>
      <c r="E104" t="s">
        <v>22</v>
      </c>
      <c r="F104">
        <v>6607</v>
      </c>
      <c r="G104">
        <v>5102</v>
      </c>
      <c r="H104">
        <f t="shared" si="3"/>
        <v>1505</v>
      </c>
      <c r="I104" t="str">
        <f t="shared" si="4"/>
        <v>2023</v>
      </c>
      <c r="J104" t="str">
        <f t="shared" si="5"/>
        <v>12</v>
      </c>
    </row>
    <row r="105" spans="1:10" x14ac:dyDescent="0.3">
      <c r="A105">
        <v>1110</v>
      </c>
      <c r="B105">
        <v>45152</v>
      </c>
      <c r="C105" t="s">
        <v>10</v>
      </c>
      <c r="D105" t="s">
        <v>17</v>
      </c>
      <c r="E105" t="s">
        <v>22</v>
      </c>
      <c r="F105">
        <v>38092</v>
      </c>
      <c r="G105">
        <v>33609</v>
      </c>
      <c r="H105">
        <f t="shared" si="3"/>
        <v>4483</v>
      </c>
      <c r="I105" t="str">
        <f t="shared" si="4"/>
        <v>2023</v>
      </c>
      <c r="J105" t="str">
        <f t="shared" si="5"/>
        <v>08</v>
      </c>
    </row>
    <row r="106" spans="1:10" x14ac:dyDescent="0.3">
      <c r="A106">
        <v>1111</v>
      </c>
      <c r="B106">
        <v>45347</v>
      </c>
      <c r="C106" t="s">
        <v>8</v>
      </c>
      <c r="D106" t="s">
        <v>18</v>
      </c>
      <c r="E106" t="s">
        <v>24</v>
      </c>
      <c r="F106">
        <v>14710</v>
      </c>
      <c r="G106">
        <v>11372</v>
      </c>
      <c r="H106">
        <f t="shared" si="3"/>
        <v>3338</v>
      </c>
      <c r="I106" t="str">
        <f t="shared" si="4"/>
        <v>2024</v>
      </c>
      <c r="J106" t="str">
        <f t="shared" si="5"/>
        <v>02</v>
      </c>
    </row>
    <row r="107" spans="1:10" x14ac:dyDescent="0.3">
      <c r="A107">
        <v>1112</v>
      </c>
      <c r="B107">
        <v>45004</v>
      </c>
      <c r="C107" t="s">
        <v>15</v>
      </c>
      <c r="D107" t="s">
        <v>20</v>
      </c>
      <c r="E107" t="s">
        <v>22</v>
      </c>
      <c r="F107">
        <v>37530</v>
      </c>
      <c r="G107">
        <v>23851</v>
      </c>
      <c r="H107">
        <f t="shared" si="3"/>
        <v>13679</v>
      </c>
      <c r="I107" t="str">
        <f t="shared" si="4"/>
        <v>2023</v>
      </c>
      <c r="J107" t="str">
        <f t="shared" si="5"/>
        <v>03</v>
      </c>
    </row>
    <row r="108" spans="1:10" x14ac:dyDescent="0.3">
      <c r="A108">
        <v>1113</v>
      </c>
      <c r="B108">
        <v>45237</v>
      </c>
      <c r="C108" t="s">
        <v>13</v>
      </c>
      <c r="D108" t="s">
        <v>17</v>
      </c>
      <c r="E108" t="s">
        <v>23</v>
      </c>
      <c r="F108">
        <v>54856</v>
      </c>
      <c r="G108">
        <v>40327</v>
      </c>
      <c r="H108">
        <f t="shared" si="3"/>
        <v>14529</v>
      </c>
      <c r="I108" t="str">
        <f t="shared" si="4"/>
        <v>2023</v>
      </c>
      <c r="J108" t="str">
        <f t="shared" si="5"/>
        <v>11</v>
      </c>
    </row>
    <row r="109" spans="1:10" x14ac:dyDescent="0.3">
      <c r="A109">
        <v>1114</v>
      </c>
      <c r="B109">
        <v>45367</v>
      </c>
      <c r="C109" t="s">
        <v>13</v>
      </c>
      <c r="D109" t="s">
        <v>18</v>
      </c>
      <c r="E109" t="s">
        <v>25</v>
      </c>
      <c r="F109">
        <v>79531</v>
      </c>
      <c r="G109">
        <v>62535</v>
      </c>
      <c r="H109">
        <f t="shared" si="3"/>
        <v>16996</v>
      </c>
      <c r="I109" t="str">
        <f t="shared" si="4"/>
        <v>2024</v>
      </c>
      <c r="J109" t="str">
        <f t="shared" si="5"/>
        <v>03</v>
      </c>
    </row>
    <row r="110" spans="1:10" x14ac:dyDescent="0.3">
      <c r="A110">
        <v>1115</v>
      </c>
      <c r="B110">
        <v>45305</v>
      </c>
      <c r="C110" t="s">
        <v>8</v>
      </c>
      <c r="D110" t="s">
        <v>17</v>
      </c>
      <c r="E110" t="s">
        <v>21</v>
      </c>
      <c r="F110">
        <v>39687</v>
      </c>
      <c r="G110">
        <v>31675</v>
      </c>
      <c r="H110">
        <f t="shared" si="3"/>
        <v>8012</v>
      </c>
      <c r="I110" t="str">
        <f t="shared" si="4"/>
        <v>2024</v>
      </c>
      <c r="J110" t="str">
        <f t="shared" si="5"/>
        <v>01</v>
      </c>
    </row>
    <row r="111" spans="1:10" x14ac:dyDescent="0.3">
      <c r="A111">
        <v>1116</v>
      </c>
      <c r="B111">
        <v>45015</v>
      </c>
      <c r="C111" t="s">
        <v>11</v>
      </c>
      <c r="D111" t="s">
        <v>19</v>
      </c>
      <c r="E111" t="s">
        <v>21</v>
      </c>
      <c r="F111">
        <v>5350</v>
      </c>
      <c r="G111">
        <v>3865</v>
      </c>
      <c r="H111">
        <f t="shared" si="3"/>
        <v>1485</v>
      </c>
      <c r="I111" t="str">
        <f t="shared" si="4"/>
        <v>2023</v>
      </c>
      <c r="J111" t="str">
        <f t="shared" si="5"/>
        <v>03</v>
      </c>
    </row>
    <row r="112" spans="1:10" x14ac:dyDescent="0.3">
      <c r="A112">
        <v>1117</v>
      </c>
      <c r="B112">
        <v>45167</v>
      </c>
      <c r="C112" t="s">
        <v>7</v>
      </c>
      <c r="D112" t="s">
        <v>19</v>
      </c>
      <c r="E112" t="s">
        <v>21</v>
      </c>
      <c r="F112">
        <v>42762</v>
      </c>
      <c r="G112">
        <v>34726</v>
      </c>
      <c r="H112">
        <f t="shared" si="3"/>
        <v>8036</v>
      </c>
      <c r="I112" t="str">
        <f t="shared" si="4"/>
        <v>2023</v>
      </c>
      <c r="J112" t="str">
        <f t="shared" si="5"/>
        <v>08</v>
      </c>
    </row>
    <row r="113" spans="1:10" x14ac:dyDescent="0.3">
      <c r="A113">
        <v>1118</v>
      </c>
      <c r="B113">
        <v>45159</v>
      </c>
      <c r="C113" t="s">
        <v>8</v>
      </c>
      <c r="D113" t="s">
        <v>17</v>
      </c>
      <c r="E113" t="s">
        <v>25</v>
      </c>
      <c r="F113">
        <v>30928</v>
      </c>
      <c r="G113">
        <v>22501</v>
      </c>
      <c r="H113">
        <f t="shared" si="3"/>
        <v>8427</v>
      </c>
      <c r="I113" t="str">
        <f t="shared" si="4"/>
        <v>2023</v>
      </c>
      <c r="J113" t="str">
        <f t="shared" si="5"/>
        <v>08</v>
      </c>
    </row>
    <row r="114" spans="1:10" x14ac:dyDescent="0.3">
      <c r="A114">
        <v>1119</v>
      </c>
      <c r="B114">
        <v>45258</v>
      </c>
      <c r="C114" t="s">
        <v>15</v>
      </c>
      <c r="D114" t="s">
        <v>20</v>
      </c>
      <c r="E114" t="s">
        <v>21</v>
      </c>
      <c r="F114">
        <v>14359</v>
      </c>
      <c r="G114">
        <v>8872</v>
      </c>
      <c r="H114">
        <f t="shared" si="3"/>
        <v>5487</v>
      </c>
      <c r="I114" t="str">
        <f t="shared" si="4"/>
        <v>2023</v>
      </c>
      <c r="J114" t="str">
        <f t="shared" si="5"/>
        <v>11</v>
      </c>
    </row>
    <row r="115" spans="1:10" x14ac:dyDescent="0.3">
      <c r="A115">
        <v>1120</v>
      </c>
      <c r="B115">
        <v>45231</v>
      </c>
      <c r="C115" t="s">
        <v>13</v>
      </c>
      <c r="D115" t="s">
        <v>20</v>
      </c>
      <c r="E115" t="s">
        <v>24</v>
      </c>
      <c r="F115">
        <v>21299</v>
      </c>
      <c r="G115">
        <v>15774</v>
      </c>
      <c r="H115">
        <f t="shared" si="3"/>
        <v>5525</v>
      </c>
      <c r="I115" t="str">
        <f t="shared" si="4"/>
        <v>2023</v>
      </c>
      <c r="J115" t="str">
        <f t="shared" si="5"/>
        <v>11</v>
      </c>
    </row>
    <row r="116" spans="1:10" x14ac:dyDescent="0.3">
      <c r="A116">
        <v>1121</v>
      </c>
      <c r="B116">
        <v>45133</v>
      </c>
      <c r="C116" t="s">
        <v>7</v>
      </c>
      <c r="D116" t="s">
        <v>18</v>
      </c>
      <c r="E116" t="s">
        <v>24</v>
      </c>
      <c r="F116">
        <v>15543</v>
      </c>
      <c r="G116">
        <v>12114</v>
      </c>
      <c r="H116">
        <f t="shared" si="3"/>
        <v>3429</v>
      </c>
      <c r="I116" t="str">
        <f t="shared" si="4"/>
        <v>2023</v>
      </c>
      <c r="J116" t="str">
        <f t="shared" si="5"/>
        <v>07</v>
      </c>
    </row>
    <row r="117" spans="1:10" x14ac:dyDescent="0.3">
      <c r="A117">
        <v>1122</v>
      </c>
      <c r="B117">
        <v>45303</v>
      </c>
      <c r="C117" t="s">
        <v>10</v>
      </c>
      <c r="D117" t="s">
        <v>20</v>
      </c>
      <c r="E117" t="s">
        <v>22</v>
      </c>
      <c r="F117">
        <v>16970</v>
      </c>
      <c r="G117">
        <v>11347</v>
      </c>
      <c r="H117">
        <f t="shared" si="3"/>
        <v>5623</v>
      </c>
      <c r="I117" t="str">
        <f t="shared" si="4"/>
        <v>2024</v>
      </c>
      <c r="J117" t="str">
        <f t="shared" si="5"/>
        <v>01</v>
      </c>
    </row>
    <row r="118" spans="1:10" x14ac:dyDescent="0.3">
      <c r="A118">
        <v>1123</v>
      </c>
      <c r="B118">
        <v>45367</v>
      </c>
      <c r="C118" t="s">
        <v>13</v>
      </c>
      <c r="D118" t="s">
        <v>19</v>
      </c>
      <c r="E118" t="s">
        <v>25</v>
      </c>
      <c r="F118">
        <v>10273</v>
      </c>
      <c r="G118">
        <v>8515</v>
      </c>
      <c r="H118">
        <f t="shared" si="3"/>
        <v>1758</v>
      </c>
      <c r="I118" t="str">
        <f t="shared" si="4"/>
        <v>2024</v>
      </c>
      <c r="J118" t="str">
        <f t="shared" si="5"/>
        <v>03</v>
      </c>
    </row>
    <row r="119" spans="1:10" x14ac:dyDescent="0.3">
      <c r="A119">
        <v>1124</v>
      </c>
      <c r="B119">
        <v>45192</v>
      </c>
      <c r="C119" t="s">
        <v>14</v>
      </c>
      <c r="D119" t="s">
        <v>20</v>
      </c>
      <c r="E119" t="s">
        <v>21</v>
      </c>
      <c r="F119">
        <v>62132</v>
      </c>
      <c r="G119">
        <v>49111</v>
      </c>
      <c r="H119">
        <f t="shared" si="3"/>
        <v>13021</v>
      </c>
      <c r="I119" t="str">
        <f t="shared" si="4"/>
        <v>2023</v>
      </c>
      <c r="J119" t="str">
        <f t="shared" si="5"/>
        <v>09</v>
      </c>
    </row>
    <row r="120" spans="1:10" x14ac:dyDescent="0.3">
      <c r="A120">
        <v>1125</v>
      </c>
      <c r="B120">
        <v>44973</v>
      </c>
      <c r="C120" t="s">
        <v>14</v>
      </c>
      <c r="D120" t="s">
        <v>20</v>
      </c>
      <c r="E120" t="s">
        <v>24</v>
      </c>
      <c r="F120">
        <v>48687</v>
      </c>
      <c r="G120">
        <v>33901</v>
      </c>
      <c r="H120">
        <f t="shared" si="3"/>
        <v>14786</v>
      </c>
      <c r="I120" t="str">
        <f t="shared" si="4"/>
        <v>2023</v>
      </c>
      <c r="J120" t="str">
        <f t="shared" si="5"/>
        <v>02</v>
      </c>
    </row>
    <row r="121" spans="1:10" x14ac:dyDescent="0.3">
      <c r="A121">
        <v>1126</v>
      </c>
      <c r="B121">
        <v>45009</v>
      </c>
      <c r="C121" t="s">
        <v>10</v>
      </c>
      <c r="D121" t="s">
        <v>18</v>
      </c>
      <c r="E121" t="s">
        <v>24</v>
      </c>
      <c r="F121">
        <v>42777</v>
      </c>
      <c r="G121">
        <v>34169</v>
      </c>
      <c r="H121">
        <f t="shared" si="3"/>
        <v>8608</v>
      </c>
      <c r="I121" t="str">
        <f t="shared" si="4"/>
        <v>2023</v>
      </c>
      <c r="J121" t="str">
        <f t="shared" si="5"/>
        <v>03</v>
      </c>
    </row>
    <row r="122" spans="1:10" x14ac:dyDescent="0.3">
      <c r="A122">
        <v>1127</v>
      </c>
      <c r="B122">
        <v>45316</v>
      </c>
      <c r="C122" t="s">
        <v>11</v>
      </c>
      <c r="D122" t="s">
        <v>19</v>
      </c>
      <c r="E122" t="s">
        <v>24</v>
      </c>
      <c r="F122">
        <v>16542</v>
      </c>
      <c r="G122">
        <v>11486</v>
      </c>
      <c r="H122">
        <f t="shared" si="3"/>
        <v>5056</v>
      </c>
      <c r="I122" t="str">
        <f t="shared" si="4"/>
        <v>2024</v>
      </c>
      <c r="J122" t="str">
        <f t="shared" si="5"/>
        <v>01</v>
      </c>
    </row>
    <row r="123" spans="1:10" x14ac:dyDescent="0.3">
      <c r="A123">
        <v>1128</v>
      </c>
      <c r="B123">
        <v>45322</v>
      </c>
      <c r="C123" t="s">
        <v>16</v>
      </c>
      <c r="D123" t="s">
        <v>19</v>
      </c>
      <c r="E123" t="s">
        <v>23</v>
      </c>
      <c r="F123">
        <v>65552</v>
      </c>
      <c r="G123">
        <v>47457</v>
      </c>
      <c r="H123">
        <f t="shared" si="3"/>
        <v>18095</v>
      </c>
      <c r="I123" t="str">
        <f t="shared" si="4"/>
        <v>2024</v>
      </c>
      <c r="J123" t="str">
        <f t="shared" si="5"/>
        <v>01</v>
      </c>
    </row>
    <row r="124" spans="1:10" x14ac:dyDescent="0.3">
      <c r="A124">
        <v>1129</v>
      </c>
      <c r="B124">
        <v>45112</v>
      </c>
      <c r="C124" t="s">
        <v>13</v>
      </c>
      <c r="D124" t="s">
        <v>18</v>
      </c>
      <c r="E124" t="s">
        <v>24</v>
      </c>
      <c r="F124">
        <v>11764</v>
      </c>
      <c r="G124">
        <v>7776</v>
      </c>
      <c r="H124">
        <f t="shared" si="3"/>
        <v>3988</v>
      </c>
      <c r="I124" t="str">
        <f t="shared" si="4"/>
        <v>2023</v>
      </c>
      <c r="J124" t="str">
        <f t="shared" si="5"/>
        <v>07</v>
      </c>
    </row>
    <row r="125" spans="1:10" x14ac:dyDescent="0.3">
      <c r="A125">
        <v>1130</v>
      </c>
      <c r="B125">
        <v>45074</v>
      </c>
      <c r="C125" t="s">
        <v>14</v>
      </c>
      <c r="D125" t="s">
        <v>18</v>
      </c>
      <c r="E125" t="s">
        <v>22</v>
      </c>
      <c r="F125">
        <v>8783</v>
      </c>
      <c r="G125">
        <v>7833</v>
      </c>
      <c r="H125">
        <f t="shared" si="3"/>
        <v>950</v>
      </c>
      <c r="I125" t="str">
        <f t="shared" si="4"/>
        <v>2023</v>
      </c>
      <c r="J125" t="str">
        <f t="shared" si="5"/>
        <v>05</v>
      </c>
    </row>
    <row r="126" spans="1:10" x14ac:dyDescent="0.3">
      <c r="A126">
        <v>1131</v>
      </c>
      <c r="B126">
        <v>45049</v>
      </c>
      <c r="C126" t="s">
        <v>15</v>
      </c>
      <c r="D126" t="s">
        <v>20</v>
      </c>
      <c r="E126" t="s">
        <v>23</v>
      </c>
      <c r="F126">
        <v>6792</v>
      </c>
      <c r="G126">
        <v>5200</v>
      </c>
      <c r="H126">
        <f t="shared" si="3"/>
        <v>1592</v>
      </c>
      <c r="I126" t="str">
        <f t="shared" si="4"/>
        <v>2023</v>
      </c>
      <c r="J126" t="str">
        <f t="shared" si="5"/>
        <v>05</v>
      </c>
    </row>
    <row r="127" spans="1:10" x14ac:dyDescent="0.3">
      <c r="A127">
        <v>1132</v>
      </c>
      <c r="B127">
        <v>45357</v>
      </c>
      <c r="C127" t="s">
        <v>8</v>
      </c>
      <c r="D127" t="s">
        <v>18</v>
      </c>
      <c r="E127" t="s">
        <v>22</v>
      </c>
      <c r="F127">
        <v>25181</v>
      </c>
      <c r="G127">
        <v>18873</v>
      </c>
      <c r="H127">
        <f t="shared" si="3"/>
        <v>6308</v>
      </c>
      <c r="I127" t="str">
        <f t="shared" si="4"/>
        <v>2024</v>
      </c>
      <c r="J127" t="str">
        <f t="shared" si="5"/>
        <v>03</v>
      </c>
    </row>
    <row r="128" spans="1:10" x14ac:dyDescent="0.3">
      <c r="A128">
        <v>1133</v>
      </c>
      <c r="B128">
        <v>45187</v>
      </c>
      <c r="C128" t="s">
        <v>7</v>
      </c>
      <c r="D128" t="s">
        <v>18</v>
      </c>
      <c r="E128" t="s">
        <v>24</v>
      </c>
      <c r="F128">
        <v>66894</v>
      </c>
      <c r="G128">
        <v>45027</v>
      </c>
      <c r="H128">
        <f t="shared" si="3"/>
        <v>21867</v>
      </c>
      <c r="I128" t="str">
        <f t="shared" si="4"/>
        <v>2023</v>
      </c>
      <c r="J128" t="str">
        <f t="shared" si="5"/>
        <v>09</v>
      </c>
    </row>
    <row r="129" spans="1:10" x14ac:dyDescent="0.3">
      <c r="A129">
        <v>1134</v>
      </c>
      <c r="B129">
        <v>45123</v>
      </c>
      <c r="C129" t="s">
        <v>12</v>
      </c>
      <c r="D129" t="s">
        <v>17</v>
      </c>
      <c r="E129" t="s">
        <v>22</v>
      </c>
      <c r="F129">
        <v>41208</v>
      </c>
      <c r="G129">
        <v>34276</v>
      </c>
      <c r="H129">
        <f t="shared" si="3"/>
        <v>6932</v>
      </c>
      <c r="I129" t="str">
        <f t="shared" si="4"/>
        <v>2023</v>
      </c>
      <c r="J129" t="str">
        <f t="shared" si="5"/>
        <v>07</v>
      </c>
    </row>
    <row r="130" spans="1:10" x14ac:dyDescent="0.3">
      <c r="A130">
        <v>1135</v>
      </c>
      <c r="B130">
        <v>45101</v>
      </c>
      <c r="C130" t="s">
        <v>11</v>
      </c>
      <c r="D130" t="s">
        <v>20</v>
      </c>
      <c r="E130" t="s">
        <v>22</v>
      </c>
      <c r="F130">
        <v>42072</v>
      </c>
      <c r="G130">
        <v>34407</v>
      </c>
      <c r="H130">
        <f t="shared" ref="H130:H193" si="6">F130-G130</f>
        <v>7665</v>
      </c>
      <c r="I130" t="str">
        <f t="shared" ref="I130:I193" si="7">TEXT(B130,"yyyy")</f>
        <v>2023</v>
      </c>
      <c r="J130" t="str">
        <f t="shared" ref="J130:J193" si="8">TEXT(B130,"mm")</f>
        <v>06</v>
      </c>
    </row>
    <row r="131" spans="1:10" x14ac:dyDescent="0.3">
      <c r="A131">
        <v>1136</v>
      </c>
      <c r="B131">
        <v>45223</v>
      </c>
      <c r="C131" t="s">
        <v>14</v>
      </c>
      <c r="D131" t="s">
        <v>17</v>
      </c>
      <c r="E131" t="s">
        <v>24</v>
      </c>
      <c r="F131">
        <v>75592</v>
      </c>
      <c r="G131">
        <v>56338</v>
      </c>
      <c r="H131">
        <f t="shared" si="6"/>
        <v>19254</v>
      </c>
      <c r="I131" t="str">
        <f t="shared" si="7"/>
        <v>2023</v>
      </c>
      <c r="J131" t="str">
        <f t="shared" si="8"/>
        <v>10</v>
      </c>
    </row>
    <row r="132" spans="1:10" x14ac:dyDescent="0.3">
      <c r="A132">
        <v>1137</v>
      </c>
      <c r="B132">
        <v>45317</v>
      </c>
      <c r="C132" t="s">
        <v>11</v>
      </c>
      <c r="D132" t="s">
        <v>18</v>
      </c>
      <c r="E132" t="s">
        <v>24</v>
      </c>
      <c r="F132">
        <v>47176</v>
      </c>
      <c r="G132">
        <v>40612</v>
      </c>
      <c r="H132">
        <f t="shared" si="6"/>
        <v>6564</v>
      </c>
      <c r="I132" t="str">
        <f t="shared" si="7"/>
        <v>2024</v>
      </c>
      <c r="J132" t="str">
        <f t="shared" si="8"/>
        <v>01</v>
      </c>
    </row>
    <row r="133" spans="1:10" x14ac:dyDescent="0.3">
      <c r="A133">
        <v>1138</v>
      </c>
      <c r="B133">
        <v>45049</v>
      </c>
      <c r="C133" t="s">
        <v>13</v>
      </c>
      <c r="D133" t="s">
        <v>18</v>
      </c>
      <c r="E133" t="s">
        <v>21</v>
      </c>
      <c r="F133">
        <v>58841</v>
      </c>
      <c r="G133">
        <v>36075</v>
      </c>
      <c r="H133">
        <f t="shared" si="6"/>
        <v>22766</v>
      </c>
      <c r="I133" t="str">
        <f t="shared" si="7"/>
        <v>2023</v>
      </c>
      <c r="J133" t="str">
        <f t="shared" si="8"/>
        <v>05</v>
      </c>
    </row>
    <row r="134" spans="1:10" x14ac:dyDescent="0.3">
      <c r="A134">
        <v>1139</v>
      </c>
      <c r="B134">
        <v>45288</v>
      </c>
      <c r="C134" t="s">
        <v>16</v>
      </c>
      <c r="D134" t="s">
        <v>18</v>
      </c>
      <c r="E134" t="s">
        <v>21</v>
      </c>
      <c r="F134">
        <v>69923</v>
      </c>
      <c r="G134">
        <v>62192</v>
      </c>
      <c r="H134">
        <f t="shared" si="6"/>
        <v>7731</v>
      </c>
      <c r="I134" t="str">
        <f t="shared" si="7"/>
        <v>2023</v>
      </c>
      <c r="J134" t="str">
        <f t="shared" si="8"/>
        <v>12</v>
      </c>
    </row>
    <row r="135" spans="1:10" x14ac:dyDescent="0.3">
      <c r="A135">
        <v>1140</v>
      </c>
      <c r="B135">
        <v>45229</v>
      </c>
      <c r="C135" t="s">
        <v>10</v>
      </c>
      <c r="D135" t="s">
        <v>19</v>
      </c>
      <c r="E135" t="s">
        <v>24</v>
      </c>
      <c r="F135">
        <v>18069</v>
      </c>
      <c r="G135">
        <v>13692</v>
      </c>
      <c r="H135">
        <f t="shared" si="6"/>
        <v>4377</v>
      </c>
      <c r="I135" t="str">
        <f t="shared" si="7"/>
        <v>2023</v>
      </c>
      <c r="J135" t="str">
        <f t="shared" si="8"/>
        <v>10</v>
      </c>
    </row>
    <row r="136" spans="1:10" x14ac:dyDescent="0.3">
      <c r="A136">
        <v>1141</v>
      </c>
      <c r="B136">
        <v>45296</v>
      </c>
      <c r="C136" t="s">
        <v>15</v>
      </c>
      <c r="D136" t="s">
        <v>18</v>
      </c>
      <c r="E136" t="s">
        <v>21</v>
      </c>
      <c r="F136">
        <v>14807</v>
      </c>
      <c r="G136">
        <v>10969</v>
      </c>
      <c r="H136">
        <f t="shared" si="6"/>
        <v>3838</v>
      </c>
      <c r="I136" t="str">
        <f t="shared" si="7"/>
        <v>2024</v>
      </c>
      <c r="J136" t="str">
        <f t="shared" si="8"/>
        <v>01</v>
      </c>
    </row>
    <row r="137" spans="1:10" x14ac:dyDescent="0.3">
      <c r="A137">
        <v>1142</v>
      </c>
      <c r="B137">
        <v>45100</v>
      </c>
      <c r="C137" t="s">
        <v>13</v>
      </c>
      <c r="D137" t="s">
        <v>18</v>
      </c>
      <c r="E137" t="s">
        <v>22</v>
      </c>
      <c r="F137">
        <v>48065</v>
      </c>
      <c r="G137">
        <v>41129</v>
      </c>
      <c r="H137">
        <f t="shared" si="6"/>
        <v>6936</v>
      </c>
      <c r="I137" t="str">
        <f t="shared" si="7"/>
        <v>2023</v>
      </c>
      <c r="J137" t="str">
        <f t="shared" si="8"/>
        <v>06</v>
      </c>
    </row>
    <row r="138" spans="1:10" x14ac:dyDescent="0.3">
      <c r="A138">
        <v>1143</v>
      </c>
      <c r="B138">
        <v>45121</v>
      </c>
      <c r="C138" t="s">
        <v>10</v>
      </c>
      <c r="D138" t="s">
        <v>18</v>
      </c>
      <c r="E138" t="s">
        <v>23</v>
      </c>
      <c r="F138">
        <v>9705</v>
      </c>
      <c r="G138">
        <v>7620</v>
      </c>
      <c r="H138">
        <f t="shared" si="6"/>
        <v>2085</v>
      </c>
      <c r="I138" t="str">
        <f t="shared" si="7"/>
        <v>2023</v>
      </c>
      <c r="J138" t="str">
        <f t="shared" si="8"/>
        <v>07</v>
      </c>
    </row>
    <row r="139" spans="1:10" x14ac:dyDescent="0.3">
      <c r="A139">
        <v>1144</v>
      </c>
      <c r="B139">
        <v>45277</v>
      </c>
      <c r="C139" t="s">
        <v>7</v>
      </c>
      <c r="D139" t="s">
        <v>17</v>
      </c>
      <c r="E139" t="s">
        <v>22</v>
      </c>
      <c r="F139">
        <v>61881</v>
      </c>
      <c r="G139">
        <v>55290</v>
      </c>
      <c r="H139">
        <f t="shared" si="6"/>
        <v>6591</v>
      </c>
      <c r="I139" t="str">
        <f t="shared" si="7"/>
        <v>2023</v>
      </c>
      <c r="J139" t="str">
        <f t="shared" si="8"/>
        <v>12</v>
      </c>
    </row>
    <row r="140" spans="1:10" x14ac:dyDescent="0.3">
      <c r="A140">
        <v>1145</v>
      </c>
      <c r="B140">
        <v>45287</v>
      </c>
      <c r="C140" t="s">
        <v>8</v>
      </c>
      <c r="D140" t="s">
        <v>18</v>
      </c>
      <c r="E140" t="s">
        <v>21</v>
      </c>
      <c r="F140">
        <v>44251</v>
      </c>
      <c r="G140">
        <v>38543</v>
      </c>
      <c r="H140">
        <f t="shared" si="6"/>
        <v>5708</v>
      </c>
      <c r="I140" t="str">
        <f t="shared" si="7"/>
        <v>2023</v>
      </c>
      <c r="J140" t="str">
        <f t="shared" si="8"/>
        <v>12</v>
      </c>
    </row>
    <row r="141" spans="1:10" x14ac:dyDescent="0.3">
      <c r="A141">
        <v>1147</v>
      </c>
      <c r="B141">
        <v>45137</v>
      </c>
      <c r="C141" t="s">
        <v>13</v>
      </c>
      <c r="D141" t="s">
        <v>17</v>
      </c>
      <c r="E141" t="s">
        <v>21</v>
      </c>
      <c r="F141">
        <v>27946</v>
      </c>
      <c r="G141">
        <v>17429</v>
      </c>
      <c r="H141">
        <f t="shared" si="6"/>
        <v>10517</v>
      </c>
      <c r="I141" t="str">
        <f t="shared" si="7"/>
        <v>2023</v>
      </c>
      <c r="J141" t="str">
        <f t="shared" si="8"/>
        <v>07</v>
      </c>
    </row>
    <row r="142" spans="1:10" x14ac:dyDescent="0.3">
      <c r="A142">
        <v>1148</v>
      </c>
      <c r="B142">
        <v>45244</v>
      </c>
      <c r="C142" t="s">
        <v>12</v>
      </c>
      <c r="D142" t="s">
        <v>18</v>
      </c>
      <c r="E142" t="s">
        <v>23</v>
      </c>
      <c r="F142">
        <v>23758</v>
      </c>
      <c r="G142">
        <v>15909</v>
      </c>
      <c r="H142">
        <f t="shared" si="6"/>
        <v>7849</v>
      </c>
      <c r="I142" t="str">
        <f t="shared" si="7"/>
        <v>2023</v>
      </c>
      <c r="J142" t="str">
        <f t="shared" si="8"/>
        <v>11</v>
      </c>
    </row>
    <row r="143" spans="1:10" x14ac:dyDescent="0.3">
      <c r="A143">
        <v>1149</v>
      </c>
      <c r="B143">
        <v>45162</v>
      </c>
      <c r="C143" t="s">
        <v>7</v>
      </c>
      <c r="D143" t="s">
        <v>19</v>
      </c>
      <c r="E143" t="s">
        <v>24</v>
      </c>
      <c r="F143">
        <v>42700</v>
      </c>
      <c r="G143">
        <v>34300</v>
      </c>
      <c r="H143">
        <f t="shared" si="6"/>
        <v>8400</v>
      </c>
      <c r="I143" t="str">
        <f t="shared" si="7"/>
        <v>2023</v>
      </c>
      <c r="J143" t="str">
        <f t="shared" si="8"/>
        <v>08</v>
      </c>
    </row>
    <row r="144" spans="1:10" x14ac:dyDescent="0.3">
      <c r="A144">
        <v>1150</v>
      </c>
      <c r="B144">
        <v>45153</v>
      </c>
      <c r="C144" t="s">
        <v>10</v>
      </c>
      <c r="D144" t="s">
        <v>20</v>
      </c>
      <c r="E144" t="s">
        <v>24</v>
      </c>
      <c r="F144">
        <v>37780</v>
      </c>
      <c r="G144">
        <v>27845</v>
      </c>
      <c r="H144">
        <f t="shared" si="6"/>
        <v>9935</v>
      </c>
      <c r="I144" t="str">
        <f t="shared" si="7"/>
        <v>2023</v>
      </c>
      <c r="J144" t="str">
        <f t="shared" si="8"/>
        <v>08</v>
      </c>
    </row>
    <row r="145" spans="1:10" x14ac:dyDescent="0.3">
      <c r="A145">
        <v>1151</v>
      </c>
      <c r="B145">
        <v>45123</v>
      </c>
      <c r="C145" t="s">
        <v>14</v>
      </c>
      <c r="D145" t="s">
        <v>19</v>
      </c>
      <c r="E145" t="s">
        <v>21</v>
      </c>
      <c r="F145">
        <v>54986</v>
      </c>
      <c r="G145">
        <v>42425</v>
      </c>
      <c r="H145">
        <f t="shared" si="6"/>
        <v>12561</v>
      </c>
      <c r="I145" t="str">
        <f t="shared" si="7"/>
        <v>2023</v>
      </c>
      <c r="J145" t="str">
        <f t="shared" si="8"/>
        <v>07</v>
      </c>
    </row>
    <row r="146" spans="1:10" x14ac:dyDescent="0.3">
      <c r="A146">
        <v>1152</v>
      </c>
      <c r="B146">
        <v>45285</v>
      </c>
      <c r="C146" t="s">
        <v>7</v>
      </c>
      <c r="D146" t="s">
        <v>19</v>
      </c>
      <c r="E146" t="s">
        <v>24</v>
      </c>
      <c r="F146">
        <v>40976</v>
      </c>
      <c r="G146">
        <v>24685</v>
      </c>
      <c r="H146">
        <f t="shared" si="6"/>
        <v>16291</v>
      </c>
      <c r="I146" t="str">
        <f t="shared" si="7"/>
        <v>2023</v>
      </c>
      <c r="J146" t="str">
        <f t="shared" si="8"/>
        <v>12</v>
      </c>
    </row>
    <row r="147" spans="1:10" x14ac:dyDescent="0.3">
      <c r="A147">
        <v>1153</v>
      </c>
      <c r="B147">
        <v>45325</v>
      </c>
      <c r="C147" t="s">
        <v>9</v>
      </c>
      <c r="D147" t="s">
        <v>18</v>
      </c>
      <c r="E147" t="s">
        <v>25</v>
      </c>
      <c r="F147">
        <v>35162</v>
      </c>
      <c r="G147">
        <v>27500</v>
      </c>
      <c r="H147">
        <f t="shared" si="6"/>
        <v>7662</v>
      </c>
      <c r="I147" t="str">
        <f t="shared" si="7"/>
        <v>2024</v>
      </c>
      <c r="J147" t="str">
        <f t="shared" si="8"/>
        <v>02</v>
      </c>
    </row>
    <row r="148" spans="1:10" x14ac:dyDescent="0.3">
      <c r="A148">
        <v>1154</v>
      </c>
      <c r="B148">
        <v>45252</v>
      </c>
      <c r="C148" t="s">
        <v>12</v>
      </c>
      <c r="D148" t="s">
        <v>20</v>
      </c>
      <c r="E148" t="s">
        <v>21</v>
      </c>
      <c r="F148">
        <v>17735</v>
      </c>
      <c r="G148">
        <v>15447</v>
      </c>
      <c r="H148">
        <f t="shared" si="6"/>
        <v>2288</v>
      </c>
      <c r="I148" t="str">
        <f t="shared" si="7"/>
        <v>2023</v>
      </c>
      <c r="J148" t="str">
        <f t="shared" si="8"/>
        <v>11</v>
      </c>
    </row>
    <row r="149" spans="1:10" x14ac:dyDescent="0.3">
      <c r="A149">
        <v>1155</v>
      </c>
      <c r="B149">
        <v>45085</v>
      </c>
      <c r="C149" t="s">
        <v>14</v>
      </c>
      <c r="D149" t="s">
        <v>19</v>
      </c>
      <c r="E149" t="s">
        <v>23</v>
      </c>
      <c r="F149">
        <v>52823</v>
      </c>
      <c r="G149">
        <v>43299</v>
      </c>
      <c r="H149">
        <f t="shared" si="6"/>
        <v>9524</v>
      </c>
      <c r="I149" t="str">
        <f t="shared" si="7"/>
        <v>2023</v>
      </c>
      <c r="J149" t="str">
        <f t="shared" si="8"/>
        <v>06</v>
      </c>
    </row>
    <row r="150" spans="1:10" x14ac:dyDescent="0.3">
      <c r="A150">
        <v>1156</v>
      </c>
      <c r="B150">
        <v>45078</v>
      </c>
      <c r="C150" t="s">
        <v>10</v>
      </c>
      <c r="D150" t="s">
        <v>18</v>
      </c>
      <c r="E150" t="s">
        <v>21</v>
      </c>
      <c r="F150">
        <v>31318</v>
      </c>
      <c r="G150">
        <v>20032</v>
      </c>
      <c r="H150">
        <f t="shared" si="6"/>
        <v>11286</v>
      </c>
      <c r="I150" t="str">
        <f t="shared" si="7"/>
        <v>2023</v>
      </c>
      <c r="J150" t="str">
        <f t="shared" si="8"/>
        <v>06</v>
      </c>
    </row>
    <row r="151" spans="1:10" x14ac:dyDescent="0.3">
      <c r="A151">
        <v>1157</v>
      </c>
      <c r="B151">
        <v>45114</v>
      </c>
      <c r="C151" t="s">
        <v>11</v>
      </c>
      <c r="D151" t="s">
        <v>20</v>
      </c>
      <c r="E151" t="s">
        <v>21</v>
      </c>
      <c r="F151">
        <v>38681</v>
      </c>
      <c r="G151">
        <v>33815</v>
      </c>
      <c r="H151">
        <f t="shared" si="6"/>
        <v>4866</v>
      </c>
      <c r="I151" t="str">
        <f t="shared" si="7"/>
        <v>2023</v>
      </c>
      <c r="J151" t="str">
        <f t="shared" si="8"/>
        <v>07</v>
      </c>
    </row>
    <row r="152" spans="1:10" x14ac:dyDescent="0.3">
      <c r="A152">
        <v>1158</v>
      </c>
      <c r="B152">
        <v>45339</v>
      </c>
      <c r="C152" t="s">
        <v>7</v>
      </c>
      <c r="D152" t="s">
        <v>20</v>
      </c>
      <c r="E152" t="s">
        <v>22</v>
      </c>
      <c r="F152">
        <v>66385</v>
      </c>
      <c r="G152">
        <v>59007</v>
      </c>
      <c r="H152">
        <f t="shared" si="6"/>
        <v>7378</v>
      </c>
      <c r="I152" t="str">
        <f t="shared" si="7"/>
        <v>2024</v>
      </c>
      <c r="J152" t="str">
        <f t="shared" si="8"/>
        <v>02</v>
      </c>
    </row>
    <row r="153" spans="1:10" x14ac:dyDescent="0.3">
      <c r="A153">
        <v>1159</v>
      </c>
      <c r="B153">
        <v>45042</v>
      </c>
      <c r="C153" t="s">
        <v>16</v>
      </c>
      <c r="D153" t="s">
        <v>20</v>
      </c>
      <c r="E153" t="s">
        <v>22</v>
      </c>
      <c r="F153">
        <v>56717</v>
      </c>
      <c r="G153">
        <v>34267</v>
      </c>
      <c r="H153">
        <f t="shared" si="6"/>
        <v>22450</v>
      </c>
      <c r="I153" t="str">
        <f t="shared" si="7"/>
        <v>2023</v>
      </c>
      <c r="J153" t="str">
        <f t="shared" si="8"/>
        <v>04</v>
      </c>
    </row>
    <row r="154" spans="1:10" x14ac:dyDescent="0.3">
      <c r="A154">
        <v>1160</v>
      </c>
      <c r="B154">
        <v>45159</v>
      </c>
      <c r="C154" t="s">
        <v>10</v>
      </c>
      <c r="D154" t="s">
        <v>20</v>
      </c>
      <c r="E154" t="s">
        <v>23</v>
      </c>
      <c r="F154">
        <v>54941</v>
      </c>
      <c r="G154">
        <v>46519</v>
      </c>
      <c r="H154">
        <f t="shared" si="6"/>
        <v>8422</v>
      </c>
      <c r="I154" t="str">
        <f t="shared" si="7"/>
        <v>2023</v>
      </c>
      <c r="J154" t="str">
        <f t="shared" si="8"/>
        <v>08</v>
      </c>
    </row>
    <row r="155" spans="1:10" x14ac:dyDescent="0.3">
      <c r="A155">
        <v>1161</v>
      </c>
      <c r="B155">
        <v>44982</v>
      </c>
      <c r="C155" t="s">
        <v>12</v>
      </c>
      <c r="D155" t="s">
        <v>18</v>
      </c>
      <c r="E155" t="s">
        <v>22</v>
      </c>
      <c r="F155">
        <v>78584</v>
      </c>
      <c r="G155">
        <v>54883</v>
      </c>
      <c r="H155">
        <f t="shared" si="6"/>
        <v>23701</v>
      </c>
      <c r="I155" t="str">
        <f t="shared" si="7"/>
        <v>2023</v>
      </c>
      <c r="J155" t="str">
        <f t="shared" si="8"/>
        <v>02</v>
      </c>
    </row>
    <row r="156" spans="1:10" x14ac:dyDescent="0.3">
      <c r="A156">
        <v>1162</v>
      </c>
      <c r="B156">
        <v>45258</v>
      </c>
      <c r="C156" t="s">
        <v>8</v>
      </c>
      <c r="D156" t="s">
        <v>18</v>
      </c>
      <c r="E156" t="s">
        <v>25</v>
      </c>
      <c r="F156">
        <v>58516</v>
      </c>
      <c r="G156">
        <v>37157</v>
      </c>
      <c r="H156">
        <f t="shared" si="6"/>
        <v>21359</v>
      </c>
      <c r="I156" t="str">
        <f t="shared" si="7"/>
        <v>2023</v>
      </c>
      <c r="J156" t="str">
        <f t="shared" si="8"/>
        <v>11</v>
      </c>
    </row>
    <row r="157" spans="1:10" x14ac:dyDescent="0.3">
      <c r="A157">
        <v>1164</v>
      </c>
      <c r="B157">
        <v>44996</v>
      </c>
      <c r="C157" t="s">
        <v>16</v>
      </c>
      <c r="D157" t="s">
        <v>18</v>
      </c>
      <c r="E157" t="s">
        <v>25</v>
      </c>
      <c r="F157">
        <v>75804</v>
      </c>
      <c r="G157">
        <v>55013</v>
      </c>
      <c r="H157">
        <f t="shared" si="6"/>
        <v>20791</v>
      </c>
      <c r="I157" t="str">
        <f t="shared" si="7"/>
        <v>2023</v>
      </c>
      <c r="J157" t="str">
        <f t="shared" si="8"/>
        <v>03</v>
      </c>
    </row>
    <row r="158" spans="1:10" x14ac:dyDescent="0.3">
      <c r="A158">
        <v>1165</v>
      </c>
      <c r="B158">
        <v>45006</v>
      </c>
      <c r="C158" t="s">
        <v>16</v>
      </c>
      <c r="D158" t="s">
        <v>19</v>
      </c>
      <c r="E158" t="s">
        <v>24</v>
      </c>
      <c r="F158">
        <v>58492</v>
      </c>
      <c r="G158">
        <v>51573</v>
      </c>
      <c r="H158">
        <f t="shared" si="6"/>
        <v>6919</v>
      </c>
      <c r="I158" t="str">
        <f t="shared" si="7"/>
        <v>2023</v>
      </c>
      <c r="J158" t="str">
        <f t="shared" si="8"/>
        <v>03</v>
      </c>
    </row>
    <row r="159" spans="1:10" x14ac:dyDescent="0.3">
      <c r="A159">
        <v>1166</v>
      </c>
      <c r="B159">
        <v>45280</v>
      </c>
      <c r="C159" t="s">
        <v>10</v>
      </c>
      <c r="D159" t="s">
        <v>17</v>
      </c>
      <c r="E159" t="s">
        <v>24</v>
      </c>
      <c r="F159">
        <v>63287</v>
      </c>
      <c r="G159">
        <v>56019</v>
      </c>
      <c r="H159">
        <f t="shared" si="6"/>
        <v>7268</v>
      </c>
      <c r="I159" t="str">
        <f t="shared" si="7"/>
        <v>2023</v>
      </c>
      <c r="J159" t="str">
        <f t="shared" si="8"/>
        <v>12</v>
      </c>
    </row>
    <row r="160" spans="1:10" x14ac:dyDescent="0.3">
      <c r="A160">
        <v>1167</v>
      </c>
      <c r="B160">
        <v>44977</v>
      </c>
      <c r="C160" t="s">
        <v>10</v>
      </c>
      <c r="D160" t="s">
        <v>20</v>
      </c>
      <c r="E160" t="s">
        <v>22</v>
      </c>
      <c r="F160">
        <v>57184</v>
      </c>
      <c r="G160">
        <v>39043</v>
      </c>
      <c r="H160">
        <f t="shared" si="6"/>
        <v>18141</v>
      </c>
      <c r="I160" t="str">
        <f t="shared" si="7"/>
        <v>2023</v>
      </c>
      <c r="J160" t="str">
        <f t="shared" si="8"/>
        <v>02</v>
      </c>
    </row>
    <row r="161" spans="1:10" x14ac:dyDescent="0.3">
      <c r="A161">
        <v>1168</v>
      </c>
      <c r="B161">
        <v>45361</v>
      </c>
      <c r="C161" t="s">
        <v>14</v>
      </c>
      <c r="D161" t="s">
        <v>19</v>
      </c>
      <c r="E161" t="s">
        <v>21</v>
      </c>
      <c r="F161">
        <v>7799</v>
      </c>
      <c r="G161">
        <v>4797</v>
      </c>
      <c r="H161">
        <f t="shared" si="6"/>
        <v>3002</v>
      </c>
      <c r="I161" t="str">
        <f t="shared" si="7"/>
        <v>2024</v>
      </c>
      <c r="J161" t="str">
        <f t="shared" si="8"/>
        <v>03</v>
      </c>
    </row>
    <row r="162" spans="1:10" x14ac:dyDescent="0.3">
      <c r="A162">
        <v>1169</v>
      </c>
      <c r="B162">
        <v>44991</v>
      </c>
      <c r="C162" t="s">
        <v>13</v>
      </c>
      <c r="D162" t="s">
        <v>17</v>
      </c>
      <c r="E162" t="s">
        <v>22</v>
      </c>
      <c r="F162">
        <v>77641</v>
      </c>
      <c r="G162">
        <v>51409</v>
      </c>
      <c r="H162">
        <f t="shared" si="6"/>
        <v>26232</v>
      </c>
      <c r="I162" t="str">
        <f t="shared" si="7"/>
        <v>2023</v>
      </c>
      <c r="J162" t="str">
        <f t="shared" si="8"/>
        <v>03</v>
      </c>
    </row>
    <row r="163" spans="1:10" x14ac:dyDescent="0.3">
      <c r="A163">
        <v>1170</v>
      </c>
      <c r="B163">
        <v>45372</v>
      </c>
      <c r="C163" t="s">
        <v>12</v>
      </c>
      <c r="D163" t="s">
        <v>20</v>
      </c>
      <c r="E163" t="s">
        <v>21</v>
      </c>
      <c r="F163">
        <v>5371</v>
      </c>
      <c r="G163">
        <v>3669</v>
      </c>
      <c r="H163">
        <f t="shared" si="6"/>
        <v>1702</v>
      </c>
      <c r="I163" t="str">
        <f t="shared" si="7"/>
        <v>2024</v>
      </c>
      <c r="J163" t="str">
        <f t="shared" si="8"/>
        <v>03</v>
      </c>
    </row>
    <row r="164" spans="1:10" x14ac:dyDescent="0.3">
      <c r="A164">
        <v>1171</v>
      </c>
      <c r="B164">
        <v>44993</v>
      </c>
      <c r="C164" t="s">
        <v>11</v>
      </c>
      <c r="D164" t="s">
        <v>20</v>
      </c>
      <c r="E164" t="s">
        <v>21</v>
      </c>
      <c r="F164">
        <v>19408</v>
      </c>
      <c r="G164">
        <v>15493</v>
      </c>
      <c r="H164">
        <f t="shared" si="6"/>
        <v>3915</v>
      </c>
      <c r="I164" t="str">
        <f t="shared" si="7"/>
        <v>2023</v>
      </c>
      <c r="J164" t="str">
        <f t="shared" si="8"/>
        <v>03</v>
      </c>
    </row>
    <row r="165" spans="1:10" x14ac:dyDescent="0.3">
      <c r="A165">
        <v>1173</v>
      </c>
      <c r="B165">
        <v>44991</v>
      </c>
      <c r="C165" t="s">
        <v>16</v>
      </c>
      <c r="D165" t="s">
        <v>19</v>
      </c>
      <c r="E165" t="s">
        <v>22</v>
      </c>
      <c r="F165">
        <v>67422</v>
      </c>
      <c r="G165">
        <v>49520</v>
      </c>
      <c r="H165">
        <f t="shared" si="6"/>
        <v>17902</v>
      </c>
      <c r="I165" t="str">
        <f t="shared" si="7"/>
        <v>2023</v>
      </c>
      <c r="J165" t="str">
        <f t="shared" si="8"/>
        <v>03</v>
      </c>
    </row>
    <row r="166" spans="1:10" x14ac:dyDescent="0.3">
      <c r="A166">
        <v>1174</v>
      </c>
      <c r="B166">
        <v>45230</v>
      </c>
      <c r="C166" t="s">
        <v>8</v>
      </c>
      <c r="D166" t="s">
        <v>18</v>
      </c>
      <c r="E166" t="s">
        <v>23</v>
      </c>
      <c r="F166">
        <v>34038</v>
      </c>
      <c r="G166">
        <v>30076</v>
      </c>
      <c r="H166">
        <f t="shared" si="6"/>
        <v>3962</v>
      </c>
      <c r="I166" t="str">
        <f t="shared" si="7"/>
        <v>2023</v>
      </c>
      <c r="J166" t="str">
        <f t="shared" si="8"/>
        <v>10</v>
      </c>
    </row>
    <row r="167" spans="1:10" x14ac:dyDescent="0.3">
      <c r="A167">
        <v>1176</v>
      </c>
      <c r="B167">
        <v>45132</v>
      </c>
      <c r="C167" t="s">
        <v>16</v>
      </c>
      <c r="D167" t="s">
        <v>19</v>
      </c>
      <c r="E167" t="s">
        <v>24</v>
      </c>
      <c r="F167">
        <v>63138</v>
      </c>
      <c r="G167">
        <v>39274</v>
      </c>
      <c r="H167">
        <f t="shared" si="6"/>
        <v>23864</v>
      </c>
      <c r="I167" t="str">
        <f t="shared" si="7"/>
        <v>2023</v>
      </c>
      <c r="J167" t="str">
        <f t="shared" si="8"/>
        <v>07</v>
      </c>
    </row>
    <row r="168" spans="1:10" x14ac:dyDescent="0.3">
      <c r="A168">
        <v>1177</v>
      </c>
      <c r="B168">
        <v>45238</v>
      </c>
      <c r="C168" t="s">
        <v>15</v>
      </c>
      <c r="D168" t="s">
        <v>19</v>
      </c>
      <c r="E168" t="s">
        <v>21</v>
      </c>
      <c r="F168">
        <v>41046</v>
      </c>
      <c r="G168">
        <v>32315</v>
      </c>
      <c r="H168">
        <f t="shared" si="6"/>
        <v>8731</v>
      </c>
      <c r="I168" t="str">
        <f t="shared" si="7"/>
        <v>2023</v>
      </c>
      <c r="J168" t="str">
        <f t="shared" si="8"/>
        <v>11</v>
      </c>
    </row>
    <row r="169" spans="1:10" x14ac:dyDescent="0.3">
      <c r="A169">
        <v>1178</v>
      </c>
      <c r="B169">
        <v>45291</v>
      </c>
      <c r="C169" t="s">
        <v>10</v>
      </c>
      <c r="D169" t="s">
        <v>18</v>
      </c>
      <c r="E169" t="s">
        <v>23</v>
      </c>
      <c r="F169">
        <v>74541</v>
      </c>
      <c r="G169">
        <v>51319</v>
      </c>
      <c r="H169">
        <f t="shared" si="6"/>
        <v>23222</v>
      </c>
      <c r="I169" t="str">
        <f t="shared" si="7"/>
        <v>2023</v>
      </c>
      <c r="J169" t="str">
        <f t="shared" si="8"/>
        <v>12</v>
      </c>
    </row>
    <row r="170" spans="1:10" x14ac:dyDescent="0.3">
      <c r="A170">
        <v>1179</v>
      </c>
      <c r="B170">
        <v>45147</v>
      </c>
      <c r="C170" t="s">
        <v>8</v>
      </c>
      <c r="D170" t="s">
        <v>19</v>
      </c>
      <c r="E170" t="s">
        <v>23</v>
      </c>
      <c r="F170">
        <v>33183</v>
      </c>
      <c r="G170">
        <v>24191</v>
      </c>
      <c r="H170">
        <f t="shared" si="6"/>
        <v>8992</v>
      </c>
      <c r="I170" t="str">
        <f t="shared" si="7"/>
        <v>2023</v>
      </c>
      <c r="J170" t="str">
        <f t="shared" si="8"/>
        <v>08</v>
      </c>
    </row>
    <row r="171" spans="1:10" x14ac:dyDescent="0.3">
      <c r="A171">
        <v>1180</v>
      </c>
      <c r="B171">
        <v>45138</v>
      </c>
      <c r="C171" t="s">
        <v>10</v>
      </c>
      <c r="D171" t="s">
        <v>18</v>
      </c>
      <c r="E171" t="s">
        <v>24</v>
      </c>
      <c r="F171">
        <v>59524</v>
      </c>
      <c r="G171">
        <v>48743</v>
      </c>
      <c r="H171">
        <f t="shared" si="6"/>
        <v>10781</v>
      </c>
      <c r="I171" t="str">
        <f t="shared" si="7"/>
        <v>2023</v>
      </c>
      <c r="J171" t="str">
        <f t="shared" si="8"/>
        <v>07</v>
      </c>
    </row>
    <row r="172" spans="1:10" x14ac:dyDescent="0.3">
      <c r="A172">
        <v>1181</v>
      </c>
      <c r="B172">
        <v>45087</v>
      </c>
      <c r="C172" t="s">
        <v>7</v>
      </c>
      <c r="D172" t="s">
        <v>20</v>
      </c>
      <c r="E172" t="s">
        <v>21</v>
      </c>
      <c r="F172">
        <v>67163</v>
      </c>
      <c r="G172">
        <v>41650</v>
      </c>
      <c r="H172">
        <f t="shared" si="6"/>
        <v>25513</v>
      </c>
      <c r="I172" t="str">
        <f t="shared" si="7"/>
        <v>2023</v>
      </c>
      <c r="J172" t="str">
        <f t="shared" si="8"/>
        <v>06</v>
      </c>
    </row>
    <row r="173" spans="1:10" x14ac:dyDescent="0.3">
      <c r="A173">
        <v>1182</v>
      </c>
      <c r="B173">
        <v>44974</v>
      </c>
      <c r="C173" t="s">
        <v>16</v>
      </c>
      <c r="D173" t="s">
        <v>19</v>
      </c>
      <c r="E173" t="s">
        <v>25</v>
      </c>
      <c r="F173">
        <v>22054</v>
      </c>
      <c r="G173">
        <v>16913</v>
      </c>
      <c r="H173">
        <f t="shared" si="6"/>
        <v>5141</v>
      </c>
      <c r="I173" t="str">
        <f t="shared" si="7"/>
        <v>2023</v>
      </c>
      <c r="J173" t="str">
        <f t="shared" si="8"/>
        <v>02</v>
      </c>
    </row>
    <row r="174" spans="1:10" x14ac:dyDescent="0.3">
      <c r="A174">
        <v>1183</v>
      </c>
      <c r="B174">
        <v>45214</v>
      </c>
      <c r="C174" t="s">
        <v>11</v>
      </c>
      <c r="D174" t="s">
        <v>20</v>
      </c>
      <c r="E174" t="s">
        <v>22</v>
      </c>
      <c r="F174">
        <v>58845</v>
      </c>
      <c r="G174">
        <v>41549</v>
      </c>
      <c r="H174">
        <f t="shared" si="6"/>
        <v>17296</v>
      </c>
      <c r="I174" t="str">
        <f t="shared" si="7"/>
        <v>2023</v>
      </c>
      <c r="J174" t="str">
        <f t="shared" si="8"/>
        <v>10</v>
      </c>
    </row>
    <row r="175" spans="1:10" x14ac:dyDescent="0.3">
      <c r="A175">
        <v>1184</v>
      </c>
      <c r="B175">
        <v>45311</v>
      </c>
      <c r="C175" t="s">
        <v>16</v>
      </c>
      <c r="D175" t="s">
        <v>19</v>
      </c>
      <c r="E175" t="s">
        <v>25</v>
      </c>
      <c r="F175">
        <v>45953</v>
      </c>
      <c r="G175">
        <v>32419</v>
      </c>
      <c r="H175">
        <f t="shared" si="6"/>
        <v>13534</v>
      </c>
      <c r="I175" t="str">
        <f t="shared" si="7"/>
        <v>2024</v>
      </c>
      <c r="J175" t="str">
        <f t="shared" si="8"/>
        <v>01</v>
      </c>
    </row>
    <row r="176" spans="1:10" x14ac:dyDescent="0.3">
      <c r="A176">
        <v>1185</v>
      </c>
      <c r="B176">
        <v>45035</v>
      </c>
      <c r="C176" t="s">
        <v>15</v>
      </c>
      <c r="D176" t="s">
        <v>18</v>
      </c>
      <c r="E176" t="s">
        <v>21</v>
      </c>
      <c r="F176">
        <v>19184</v>
      </c>
      <c r="G176">
        <v>13525</v>
      </c>
      <c r="H176">
        <f t="shared" si="6"/>
        <v>5659</v>
      </c>
      <c r="I176" t="str">
        <f t="shared" si="7"/>
        <v>2023</v>
      </c>
      <c r="J176" t="str">
        <f t="shared" si="8"/>
        <v>04</v>
      </c>
    </row>
    <row r="177" spans="1:10" x14ac:dyDescent="0.3">
      <c r="A177">
        <v>1186</v>
      </c>
      <c r="B177">
        <v>44985</v>
      </c>
      <c r="C177" t="s">
        <v>7</v>
      </c>
      <c r="D177" t="s">
        <v>17</v>
      </c>
      <c r="E177" t="s">
        <v>24</v>
      </c>
      <c r="F177">
        <v>78526</v>
      </c>
      <c r="G177">
        <v>70073</v>
      </c>
      <c r="H177">
        <f t="shared" si="6"/>
        <v>8453</v>
      </c>
      <c r="I177" t="str">
        <f t="shared" si="7"/>
        <v>2023</v>
      </c>
      <c r="J177" t="str">
        <f t="shared" si="8"/>
        <v>02</v>
      </c>
    </row>
    <row r="178" spans="1:10" x14ac:dyDescent="0.3">
      <c r="A178">
        <v>1187</v>
      </c>
      <c r="B178">
        <v>45241</v>
      </c>
      <c r="C178" t="s">
        <v>11</v>
      </c>
      <c r="D178" t="s">
        <v>19</v>
      </c>
      <c r="E178" t="s">
        <v>23</v>
      </c>
      <c r="F178">
        <v>40054</v>
      </c>
      <c r="G178">
        <v>24380</v>
      </c>
      <c r="H178">
        <f t="shared" si="6"/>
        <v>15674</v>
      </c>
      <c r="I178" t="str">
        <f t="shared" si="7"/>
        <v>2023</v>
      </c>
      <c r="J178" t="str">
        <f t="shared" si="8"/>
        <v>11</v>
      </c>
    </row>
    <row r="179" spans="1:10" x14ac:dyDescent="0.3">
      <c r="A179">
        <v>1188</v>
      </c>
      <c r="B179">
        <v>45317</v>
      </c>
      <c r="C179" t="s">
        <v>7</v>
      </c>
      <c r="D179" t="s">
        <v>20</v>
      </c>
      <c r="E179" t="s">
        <v>25</v>
      </c>
      <c r="F179">
        <v>5800</v>
      </c>
      <c r="G179">
        <v>3795</v>
      </c>
      <c r="H179">
        <f t="shared" si="6"/>
        <v>2005</v>
      </c>
      <c r="I179" t="str">
        <f t="shared" si="7"/>
        <v>2024</v>
      </c>
      <c r="J179" t="str">
        <f t="shared" si="8"/>
        <v>01</v>
      </c>
    </row>
    <row r="180" spans="1:10" x14ac:dyDescent="0.3">
      <c r="A180">
        <v>1189</v>
      </c>
      <c r="B180">
        <v>45263</v>
      </c>
      <c r="C180" t="s">
        <v>16</v>
      </c>
      <c r="D180" t="s">
        <v>19</v>
      </c>
      <c r="E180" t="s">
        <v>21</v>
      </c>
      <c r="F180">
        <v>9018</v>
      </c>
      <c r="G180">
        <v>5659</v>
      </c>
      <c r="H180">
        <f t="shared" si="6"/>
        <v>3359</v>
      </c>
      <c r="I180" t="str">
        <f t="shared" si="7"/>
        <v>2023</v>
      </c>
      <c r="J180" t="str">
        <f t="shared" si="8"/>
        <v>12</v>
      </c>
    </row>
    <row r="181" spans="1:10" x14ac:dyDescent="0.3">
      <c r="A181">
        <v>1190</v>
      </c>
      <c r="B181">
        <v>45119</v>
      </c>
      <c r="C181" t="s">
        <v>16</v>
      </c>
      <c r="D181" t="s">
        <v>18</v>
      </c>
      <c r="E181" t="s">
        <v>25</v>
      </c>
      <c r="F181">
        <v>25631</v>
      </c>
      <c r="G181">
        <v>18224</v>
      </c>
      <c r="H181">
        <f t="shared" si="6"/>
        <v>7407</v>
      </c>
      <c r="I181" t="str">
        <f t="shared" si="7"/>
        <v>2023</v>
      </c>
      <c r="J181" t="str">
        <f t="shared" si="8"/>
        <v>07</v>
      </c>
    </row>
    <row r="182" spans="1:10" x14ac:dyDescent="0.3">
      <c r="A182">
        <v>1191</v>
      </c>
      <c r="B182">
        <v>45324</v>
      </c>
      <c r="C182" t="s">
        <v>13</v>
      </c>
      <c r="D182" t="s">
        <v>19</v>
      </c>
      <c r="E182" t="s">
        <v>22</v>
      </c>
      <c r="F182">
        <v>25392</v>
      </c>
      <c r="G182">
        <v>16434</v>
      </c>
      <c r="H182">
        <f t="shared" si="6"/>
        <v>8958</v>
      </c>
      <c r="I182" t="str">
        <f t="shared" si="7"/>
        <v>2024</v>
      </c>
      <c r="J182" t="str">
        <f t="shared" si="8"/>
        <v>02</v>
      </c>
    </row>
    <row r="183" spans="1:10" x14ac:dyDescent="0.3">
      <c r="A183">
        <v>1192</v>
      </c>
      <c r="B183">
        <v>45272</v>
      </c>
      <c r="C183" t="s">
        <v>8</v>
      </c>
      <c r="D183" t="s">
        <v>20</v>
      </c>
      <c r="E183" t="s">
        <v>24</v>
      </c>
      <c r="F183">
        <v>60576</v>
      </c>
      <c r="G183">
        <v>45171</v>
      </c>
      <c r="H183">
        <f t="shared" si="6"/>
        <v>15405</v>
      </c>
      <c r="I183" t="str">
        <f t="shared" si="7"/>
        <v>2023</v>
      </c>
      <c r="J183" t="str">
        <f t="shared" si="8"/>
        <v>12</v>
      </c>
    </row>
    <row r="184" spans="1:10" x14ac:dyDescent="0.3">
      <c r="A184">
        <v>1193</v>
      </c>
      <c r="B184">
        <v>45066</v>
      </c>
      <c r="C184" t="s">
        <v>12</v>
      </c>
      <c r="D184" t="s">
        <v>19</v>
      </c>
      <c r="E184" t="s">
        <v>25</v>
      </c>
      <c r="F184">
        <v>61349</v>
      </c>
      <c r="G184">
        <v>38850</v>
      </c>
      <c r="H184">
        <f t="shared" si="6"/>
        <v>22499</v>
      </c>
      <c r="I184" t="str">
        <f t="shared" si="7"/>
        <v>2023</v>
      </c>
      <c r="J184" t="str">
        <f t="shared" si="8"/>
        <v>05</v>
      </c>
    </row>
    <row r="185" spans="1:10" x14ac:dyDescent="0.3">
      <c r="A185">
        <v>1194</v>
      </c>
      <c r="B185">
        <v>45230</v>
      </c>
      <c r="C185" t="s">
        <v>14</v>
      </c>
      <c r="D185" t="s">
        <v>20</v>
      </c>
      <c r="E185" t="s">
        <v>22</v>
      </c>
      <c r="F185">
        <v>33903</v>
      </c>
      <c r="G185">
        <v>24361</v>
      </c>
      <c r="H185">
        <f t="shared" si="6"/>
        <v>9542</v>
      </c>
      <c r="I185" t="str">
        <f t="shared" si="7"/>
        <v>2023</v>
      </c>
      <c r="J185" t="str">
        <f t="shared" si="8"/>
        <v>10</v>
      </c>
    </row>
    <row r="186" spans="1:10" x14ac:dyDescent="0.3">
      <c r="A186">
        <v>1195</v>
      </c>
      <c r="B186">
        <v>44930</v>
      </c>
      <c r="C186" t="s">
        <v>12</v>
      </c>
      <c r="D186" t="s">
        <v>20</v>
      </c>
      <c r="E186" t="s">
        <v>21</v>
      </c>
      <c r="F186">
        <v>22987</v>
      </c>
      <c r="G186">
        <v>19061</v>
      </c>
      <c r="H186">
        <f t="shared" si="6"/>
        <v>3926</v>
      </c>
      <c r="I186" t="str">
        <f t="shared" si="7"/>
        <v>2023</v>
      </c>
      <c r="J186" t="str">
        <f t="shared" si="8"/>
        <v>01</v>
      </c>
    </row>
    <row r="187" spans="1:10" x14ac:dyDescent="0.3">
      <c r="A187">
        <v>1196</v>
      </c>
      <c r="B187">
        <v>44988</v>
      </c>
      <c r="C187" t="s">
        <v>9</v>
      </c>
      <c r="D187" t="s">
        <v>18</v>
      </c>
      <c r="E187" t="s">
        <v>24</v>
      </c>
      <c r="F187">
        <v>28028</v>
      </c>
      <c r="G187">
        <v>17903</v>
      </c>
      <c r="H187">
        <f t="shared" si="6"/>
        <v>10125</v>
      </c>
      <c r="I187" t="str">
        <f t="shared" si="7"/>
        <v>2023</v>
      </c>
      <c r="J187" t="str">
        <f t="shared" si="8"/>
        <v>03</v>
      </c>
    </row>
    <row r="188" spans="1:10" x14ac:dyDescent="0.3">
      <c r="A188">
        <v>1197</v>
      </c>
      <c r="B188">
        <v>45044</v>
      </c>
      <c r="C188" t="s">
        <v>11</v>
      </c>
      <c r="D188" t="s">
        <v>20</v>
      </c>
      <c r="E188" t="s">
        <v>22</v>
      </c>
      <c r="F188">
        <v>57044</v>
      </c>
      <c r="G188">
        <v>48973</v>
      </c>
      <c r="H188">
        <f t="shared" si="6"/>
        <v>8071</v>
      </c>
      <c r="I188" t="str">
        <f t="shared" si="7"/>
        <v>2023</v>
      </c>
      <c r="J188" t="str">
        <f t="shared" si="8"/>
        <v>04</v>
      </c>
    </row>
    <row r="189" spans="1:10" x14ac:dyDescent="0.3">
      <c r="A189">
        <v>1199</v>
      </c>
      <c r="B189">
        <v>45290</v>
      </c>
      <c r="C189" t="s">
        <v>16</v>
      </c>
      <c r="D189" t="s">
        <v>20</v>
      </c>
      <c r="E189" t="s">
        <v>22</v>
      </c>
      <c r="F189">
        <v>58088</v>
      </c>
      <c r="G189">
        <v>35216</v>
      </c>
      <c r="H189">
        <f t="shared" si="6"/>
        <v>22872</v>
      </c>
      <c r="I189" t="str">
        <f t="shared" si="7"/>
        <v>2023</v>
      </c>
      <c r="J189" t="str">
        <f t="shared" si="8"/>
        <v>12</v>
      </c>
    </row>
    <row r="190" spans="1:10" x14ac:dyDescent="0.3">
      <c r="A190">
        <v>1200</v>
      </c>
      <c r="B190">
        <v>45337</v>
      </c>
      <c r="C190" t="s">
        <v>13</v>
      </c>
      <c r="D190" t="s">
        <v>18</v>
      </c>
      <c r="E190" t="s">
        <v>25</v>
      </c>
      <c r="F190">
        <v>16551</v>
      </c>
      <c r="G190">
        <v>12099</v>
      </c>
      <c r="H190">
        <f t="shared" si="6"/>
        <v>4452</v>
      </c>
      <c r="I190" t="str">
        <f t="shared" si="7"/>
        <v>2024</v>
      </c>
      <c r="J190" t="str">
        <f t="shared" si="8"/>
        <v>02</v>
      </c>
    </row>
    <row r="191" spans="1:10" x14ac:dyDescent="0.3">
      <c r="A191">
        <v>1201</v>
      </c>
      <c r="B191">
        <v>45150</v>
      </c>
      <c r="C191" t="s">
        <v>13</v>
      </c>
      <c r="D191" t="s">
        <v>18</v>
      </c>
      <c r="E191" t="s">
        <v>23</v>
      </c>
      <c r="F191">
        <v>15308</v>
      </c>
      <c r="G191">
        <v>11002</v>
      </c>
      <c r="H191">
        <f t="shared" si="6"/>
        <v>4306</v>
      </c>
      <c r="I191" t="str">
        <f t="shared" si="7"/>
        <v>2023</v>
      </c>
      <c r="J191" t="str">
        <f t="shared" si="8"/>
        <v>08</v>
      </c>
    </row>
    <row r="192" spans="1:10" x14ac:dyDescent="0.3">
      <c r="A192">
        <v>1202</v>
      </c>
      <c r="B192">
        <v>45100</v>
      </c>
      <c r="C192" t="s">
        <v>12</v>
      </c>
      <c r="D192" t="s">
        <v>20</v>
      </c>
      <c r="E192" t="s">
        <v>21</v>
      </c>
      <c r="F192">
        <v>15011</v>
      </c>
      <c r="G192">
        <v>11305</v>
      </c>
      <c r="H192">
        <f t="shared" si="6"/>
        <v>3706</v>
      </c>
      <c r="I192" t="str">
        <f t="shared" si="7"/>
        <v>2023</v>
      </c>
      <c r="J192" t="str">
        <f t="shared" si="8"/>
        <v>06</v>
      </c>
    </row>
    <row r="193" spans="1:10" x14ac:dyDescent="0.3">
      <c r="A193">
        <v>1203</v>
      </c>
      <c r="B193">
        <v>45188</v>
      </c>
      <c r="C193" t="s">
        <v>12</v>
      </c>
      <c r="D193" t="s">
        <v>20</v>
      </c>
      <c r="E193" t="s">
        <v>25</v>
      </c>
      <c r="F193">
        <v>24358</v>
      </c>
      <c r="G193">
        <v>16341</v>
      </c>
      <c r="H193">
        <f t="shared" si="6"/>
        <v>8017</v>
      </c>
      <c r="I193" t="str">
        <f t="shared" si="7"/>
        <v>2023</v>
      </c>
      <c r="J193" t="str">
        <f t="shared" si="8"/>
        <v>09</v>
      </c>
    </row>
    <row r="194" spans="1:10" x14ac:dyDescent="0.3">
      <c r="A194">
        <v>1204</v>
      </c>
      <c r="B194">
        <v>45028</v>
      </c>
      <c r="C194" t="s">
        <v>15</v>
      </c>
      <c r="D194" t="s">
        <v>17</v>
      </c>
      <c r="E194" t="s">
        <v>22</v>
      </c>
      <c r="F194">
        <v>28218</v>
      </c>
      <c r="G194">
        <v>24983</v>
      </c>
      <c r="H194">
        <f t="shared" ref="H194:H257" si="9">F194-G194</f>
        <v>3235</v>
      </c>
      <c r="I194" t="str">
        <f t="shared" ref="I194:I257" si="10">TEXT(B194,"yyyy")</f>
        <v>2023</v>
      </c>
      <c r="J194" t="str">
        <f t="shared" ref="J194:J257" si="11">TEXT(B194,"mm")</f>
        <v>04</v>
      </c>
    </row>
    <row r="195" spans="1:10" x14ac:dyDescent="0.3">
      <c r="A195">
        <v>1205</v>
      </c>
      <c r="B195">
        <v>45164</v>
      </c>
      <c r="C195" t="s">
        <v>13</v>
      </c>
      <c r="D195" t="s">
        <v>18</v>
      </c>
      <c r="E195" t="s">
        <v>23</v>
      </c>
      <c r="F195">
        <v>47363</v>
      </c>
      <c r="G195">
        <v>40697</v>
      </c>
      <c r="H195">
        <f t="shared" si="9"/>
        <v>6666</v>
      </c>
      <c r="I195" t="str">
        <f t="shared" si="10"/>
        <v>2023</v>
      </c>
      <c r="J195" t="str">
        <f t="shared" si="11"/>
        <v>08</v>
      </c>
    </row>
    <row r="196" spans="1:10" x14ac:dyDescent="0.3">
      <c r="A196">
        <v>1206</v>
      </c>
      <c r="B196">
        <v>45004</v>
      </c>
      <c r="C196" t="s">
        <v>14</v>
      </c>
      <c r="D196" t="s">
        <v>19</v>
      </c>
      <c r="E196" t="s">
        <v>24</v>
      </c>
      <c r="F196">
        <v>62961</v>
      </c>
      <c r="G196">
        <v>49702</v>
      </c>
      <c r="H196">
        <f t="shared" si="9"/>
        <v>13259</v>
      </c>
      <c r="I196" t="str">
        <f t="shared" si="10"/>
        <v>2023</v>
      </c>
      <c r="J196" t="str">
        <f t="shared" si="11"/>
        <v>03</v>
      </c>
    </row>
    <row r="197" spans="1:10" x14ac:dyDescent="0.3">
      <c r="A197">
        <v>1207</v>
      </c>
      <c r="B197">
        <v>45229</v>
      </c>
      <c r="C197" t="s">
        <v>9</v>
      </c>
      <c r="D197" t="s">
        <v>20</v>
      </c>
      <c r="E197" t="s">
        <v>23</v>
      </c>
      <c r="F197">
        <v>14724</v>
      </c>
      <c r="G197">
        <v>10205</v>
      </c>
      <c r="H197">
        <f t="shared" si="9"/>
        <v>4519</v>
      </c>
      <c r="I197" t="str">
        <f t="shared" si="10"/>
        <v>2023</v>
      </c>
      <c r="J197" t="str">
        <f t="shared" si="11"/>
        <v>10</v>
      </c>
    </row>
    <row r="198" spans="1:10" x14ac:dyDescent="0.3">
      <c r="A198">
        <v>1208</v>
      </c>
      <c r="B198">
        <v>44956</v>
      </c>
      <c r="C198" t="s">
        <v>10</v>
      </c>
      <c r="D198" t="s">
        <v>20</v>
      </c>
      <c r="E198" t="s">
        <v>22</v>
      </c>
      <c r="F198">
        <v>16835</v>
      </c>
      <c r="G198">
        <v>13207</v>
      </c>
      <c r="H198">
        <f t="shared" si="9"/>
        <v>3628</v>
      </c>
      <c r="I198" t="str">
        <f t="shared" si="10"/>
        <v>2023</v>
      </c>
      <c r="J198" t="str">
        <f t="shared" si="11"/>
        <v>01</v>
      </c>
    </row>
    <row r="199" spans="1:10" x14ac:dyDescent="0.3">
      <c r="A199">
        <v>1209</v>
      </c>
      <c r="B199">
        <v>45163</v>
      </c>
      <c r="C199" t="s">
        <v>13</v>
      </c>
      <c r="D199" t="s">
        <v>19</v>
      </c>
      <c r="E199" t="s">
        <v>24</v>
      </c>
      <c r="F199">
        <v>79928</v>
      </c>
      <c r="G199">
        <v>63586</v>
      </c>
      <c r="H199">
        <f t="shared" si="9"/>
        <v>16342</v>
      </c>
      <c r="I199" t="str">
        <f t="shared" si="10"/>
        <v>2023</v>
      </c>
      <c r="J199" t="str">
        <f t="shared" si="11"/>
        <v>08</v>
      </c>
    </row>
    <row r="200" spans="1:10" x14ac:dyDescent="0.3">
      <c r="A200">
        <v>1210</v>
      </c>
      <c r="B200">
        <v>45170</v>
      </c>
      <c r="C200" t="s">
        <v>11</v>
      </c>
      <c r="D200" t="s">
        <v>17</v>
      </c>
      <c r="E200" t="s">
        <v>22</v>
      </c>
      <c r="F200">
        <v>64050</v>
      </c>
      <c r="G200">
        <v>40418</v>
      </c>
      <c r="H200">
        <f t="shared" si="9"/>
        <v>23632</v>
      </c>
      <c r="I200" t="str">
        <f t="shared" si="10"/>
        <v>2023</v>
      </c>
      <c r="J200" t="str">
        <f t="shared" si="11"/>
        <v>09</v>
      </c>
    </row>
    <row r="201" spans="1:10" x14ac:dyDescent="0.3">
      <c r="A201">
        <v>1211</v>
      </c>
      <c r="B201">
        <v>45102</v>
      </c>
      <c r="C201" t="s">
        <v>8</v>
      </c>
      <c r="D201" t="s">
        <v>17</v>
      </c>
      <c r="E201" t="s">
        <v>22</v>
      </c>
      <c r="F201">
        <v>37472</v>
      </c>
      <c r="G201">
        <v>30438</v>
      </c>
      <c r="H201">
        <f t="shared" si="9"/>
        <v>7034</v>
      </c>
      <c r="I201" t="str">
        <f t="shared" si="10"/>
        <v>2023</v>
      </c>
      <c r="J201" t="str">
        <f t="shared" si="11"/>
        <v>06</v>
      </c>
    </row>
    <row r="202" spans="1:10" x14ac:dyDescent="0.3">
      <c r="A202">
        <v>1212</v>
      </c>
      <c r="B202">
        <v>45195</v>
      </c>
      <c r="C202" t="s">
        <v>11</v>
      </c>
      <c r="D202" t="s">
        <v>17</v>
      </c>
      <c r="E202" t="s">
        <v>25</v>
      </c>
      <c r="F202">
        <v>53870</v>
      </c>
      <c r="G202">
        <v>47156</v>
      </c>
      <c r="H202">
        <f t="shared" si="9"/>
        <v>6714</v>
      </c>
      <c r="I202" t="str">
        <f t="shared" si="10"/>
        <v>2023</v>
      </c>
      <c r="J202" t="str">
        <f t="shared" si="11"/>
        <v>09</v>
      </c>
    </row>
    <row r="203" spans="1:10" x14ac:dyDescent="0.3">
      <c r="A203">
        <v>1213</v>
      </c>
      <c r="B203">
        <v>45323</v>
      </c>
      <c r="C203" t="s">
        <v>10</v>
      </c>
      <c r="D203" t="s">
        <v>19</v>
      </c>
      <c r="E203" t="s">
        <v>25</v>
      </c>
      <c r="F203">
        <v>13639</v>
      </c>
      <c r="G203">
        <v>9532</v>
      </c>
      <c r="H203">
        <f t="shared" si="9"/>
        <v>4107</v>
      </c>
      <c r="I203" t="str">
        <f t="shared" si="10"/>
        <v>2024</v>
      </c>
      <c r="J203" t="str">
        <f t="shared" si="11"/>
        <v>02</v>
      </c>
    </row>
    <row r="204" spans="1:10" x14ac:dyDescent="0.3">
      <c r="A204">
        <v>1214</v>
      </c>
      <c r="B204">
        <v>45124</v>
      </c>
      <c r="C204" t="s">
        <v>7</v>
      </c>
      <c r="D204" t="s">
        <v>20</v>
      </c>
      <c r="E204" t="s">
        <v>23</v>
      </c>
      <c r="F204">
        <v>24709</v>
      </c>
      <c r="G204">
        <v>17296</v>
      </c>
      <c r="H204">
        <f t="shared" si="9"/>
        <v>7413</v>
      </c>
      <c r="I204" t="str">
        <f t="shared" si="10"/>
        <v>2023</v>
      </c>
      <c r="J204" t="str">
        <f t="shared" si="11"/>
        <v>07</v>
      </c>
    </row>
    <row r="205" spans="1:10" x14ac:dyDescent="0.3">
      <c r="A205">
        <v>1215</v>
      </c>
      <c r="B205">
        <v>44999</v>
      </c>
      <c r="C205" t="s">
        <v>10</v>
      </c>
      <c r="D205" t="s">
        <v>20</v>
      </c>
      <c r="E205" t="s">
        <v>24</v>
      </c>
      <c r="F205">
        <v>21901</v>
      </c>
      <c r="G205">
        <v>17050</v>
      </c>
      <c r="H205">
        <f t="shared" si="9"/>
        <v>4851</v>
      </c>
      <c r="I205" t="str">
        <f t="shared" si="10"/>
        <v>2023</v>
      </c>
      <c r="J205" t="str">
        <f t="shared" si="11"/>
        <v>03</v>
      </c>
    </row>
    <row r="206" spans="1:10" x14ac:dyDescent="0.3">
      <c r="A206">
        <v>1216</v>
      </c>
      <c r="B206">
        <v>45085</v>
      </c>
      <c r="C206" t="s">
        <v>11</v>
      </c>
      <c r="D206" t="s">
        <v>18</v>
      </c>
      <c r="E206" t="s">
        <v>25</v>
      </c>
      <c r="F206">
        <v>21750</v>
      </c>
      <c r="G206">
        <v>17422</v>
      </c>
      <c r="H206">
        <f t="shared" si="9"/>
        <v>4328</v>
      </c>
      <c r="I206" t="str">
        <f t="shared" si="10"/>
        <v>2023</v>
      </c>
      <c r="J206" t="str">
        <f t="shared" si="11"/>
        <v>06</v>
      </c>
    </row>
    <row r="207" spans="1:10" x14ac:dyDescent="0.3">
      <c r="A207">
        <v>1217</v>
      </c>
      <c r="B207">
        <v>45305</v>
      </c>
      <c r="C207" t="s">
        <v>11</v>
      </c>
      <c r="D207" t="s">
        <v>19</v>
      </c>
      <c r="E207" t="s">
        <v>24</v>
      </c>
      <c r="F207">
        <v>71648</v>
      </c>
      <c r="G207">
        <v>50766</v>
      </c>
      <c r="H207">
        <f t="shared" si="9"/>
        <v>20882</v>
      </c>
      <c r="I207" t="str">
        <f t="shared" si="10"/>
        <v>2024</v>
      </c>
      <c r="J207" t="str">
        <f t="shared" si="11"/>
        <v>01</v>
      </c>
    </row>
    <row r="208" spans="1:10" x14ac:dyDescent="0.3">
      <c r="A208">
        <v>1218</v>
      </c>
      <c r="B208">
        <v>45019</v>
      </c>
      <c r="C208" t="s">
        <v>12</v>
      </c>
      <c r="D208" t="s">
        <v>20</v>
      </c>
      <c r="E208" t="s">
        <v>24</v>
      </c>
      <c r="F208">
        <v>30166</v>
      </c>
      <c r="G208">
        <v>20149</v>
      </c>
      <c r="H208">
        <f t="shared" si="9"/>
        <v>10017</v>
      </c>
      <c r="I208" t="str">
        <f t="shared" si="10"/>
        <v>2023</v>
      </c>
      <c r="J208" t="str">
        <f t="shared" si="11"/>
        <v>04</v>
      </c>
    </row>
    <row r="209" spans="1:10" x14ac:dyDescent="0.3">
      <c r="A209">
        <v>1219</v>
      </c>
      <c r="B209">
        <v>44966</v>
      </c>
      <c r="C209" t="s">
        <v>7</v>
      </c>
      <c r="D209" t="s">
        <v>19</v>
      </c>
      <c r="E209" t="s">
        <v>23</v>
      </c>
      <c r="F209">
        <v>75748</v>
      </c>
      <c r="G209">
        <v>64426</v>
      </c>
      <c r="H209">
        <f t="shared" si="9"/>
        <v>11322</v>
      </c>
      <c r="I209" t="str">
        <f t="shared" si="10"/>
        <v>2023</v>
      </c>
      <c r="J209" t="str">
        <f t="shared" si="11"/>
        <v>02</v>
      </c>
    </row>
    <row r="210" spans="1:10" x14ac:dyDescent="0.3">
      <c r="A210">
        <v>1220</v>
      </c>
      <c r="B210">
        <v>44946</v>
      </c>
      <c r="C210" t="s">
        <v>10</v>
      </c>
      <c r="D210" t="s">
        <v>17</v>
      </c>
      <c r="E210" t="s">
        <v>23</v>
      </c>
      <c r="F210">
        <v>54377</v>
      </c>
      <c r="G210">
        <v>35142</v>
      </c>
      <c r="H210">
        <f t="shared" si="9"/>
        <v>19235</v>
      </c>
      <c r="I210" t="str">
        <f t="shared" si="10"/>
        <v>2023</v>
      </c>
      <c r="J210" t="str">
        <f t="shared" si="11"/>
        <v>01</v>
      </c>
    </row>
    <row r="211" spans="1:10" x14ac:dyDescent="0.3">
      <c r="A211">
        <v>1221</v>
      </c>
      <c r="B211">
        <v>45281</v>
      </c>
      <c r="C211" t="s">
        <v>13</v>
      </c>
      <c r="D211" t="s">
        <v>17</v>
      </c>
      <c r="E211" t="s">
        <v>24</v>
      </c>
      <c r="F211">
        <v>10726</v>
      </c>
      <c r="G211">
        <v>7757</v>
      </c>
      <c r="H211">
        <f t="shared" si="9"/>
        <v>2969</v>
      </c>
      <c r="I211" t="str">
        <f t="shared" si="10"/>
        <v>2023</v>
      </c>
      <c r="J211" t="str">
        <f t="shared" si="11"/>
        <v>12</v>
      </c>
    </row>
    <row r="212" spans="1:10" x14ac:dyDescent="0.3">
      <c r="A212">
        <v>1222</v>
      </c>
      <c r="B212">
        <v>45048</v>
      </c>
      <c r="C212" t="s">
        <v>14</v>
      </c>
      <c r="D212" t="s">
        <v>20</v>
      </c>
      <c r="E212" t="s">
        <v>24</v>
      </c>
      <c r="F212">
        <v>35671</v>
      </c>
      <c r="G212">
        <v>27117</v>
      </c>
      <c r="H212">
        <f t="shared" si="9"/>
        <v>8554</v>
      </c>
      <c r="I212" t="str">
        <f t="shared" si="10"/>
        <v>2023</v>
      </c>
      <c r="J212" t="str">
        <f t="shared" si="11"/>
        <v>05</v>
      </c>
    </row>
    <row r="213" spans="1:10" x14ac:dyDescent="0.3">
      <c r="A213">
        <v>1223</v>
      </c>
      <c r="B213">
        <v>45341</v>
      </c>
      <c r="C213" t="s">
        <v>14</v>
      </c>
      <c r="D213" t="s">
        <v>17</v>
      </c>
      <c r="E213" t="s">
        <v>25</v>
      </c>
      <c r="F213">
        <v>79766</v>
      </c>
      <c r="G213">
        <v>71417</v>
      </c>
      <c r="H213">
        <f t="shared" si="9"/>
        <v>8349</v>
      </c>
      <c r="I213" t="str">
        <f t="shared" si="10"/>
        <v>2024</v>
      </c>
      <c r="J213" t="str">
        <f t="shared" si="11"/>
        <v>02</v>
      </c>
    </row>
    <row r="214" spans="1:10" x14ac:dyDescent="0.3">
      <c r="A214">
        <v>1224</v>
      </c>
      <c r="B214">
        <v>45071</v>
      </c>
      <c r="C214" t="s">
        <v>16</v>
      </c>
      <c r="D214" t="s">
        <v>18</v>
      </c>
      <c r="E214" t="s">
        <v>21</v>
      </c>
      <c r="F214">
        <v>31174</v>
      </c>
      <c r="G214">
        <v>26197</v>
      </c>
      <c r="H214">
        <f t="shared" si="9"/>
        <v>4977</v>
      </c>
      <c r="I214" t="str">
        <f t="shared" si="10"/>
        <v>2023</v>
      </c>
      <c r="J214" t="str">
        <f t="shared" si="11"/>
        <v>05</v>
      </c>
    </row>
    <row r="215" spans="1:10" x14ac:dyDescent="0.3">
      <c r="A215">
        <v>1225</v>
      </c>
      <c r="B215">
        <v>45055</v>
      </c>
      <c r="C215" t="s">
        <v>9</v>
      </c>
      <c r="D215" t="s">
        <v>18</v>
      </c>
      <c r="E215" t="s">
        <v>25</v>
      </c>
      <c r="F215">
        <v>77684</v>
      </c>
      <c r="G215">
        <v>68384</v>
      </c>
      <c r="H215">
        <f t="shared" si="9"/>
        <v>9300</v>
      </c>
      <c r="I215" t="str">
        <f t="shared" si="10"/>
        <v>2023</v>
      </c>
      <c r="J215" t="str">
        <f t="shared" si="11"/>
        <v>05</v>
      </c>
    </row>
    <row r="216" spans="1:10" x14ac:dyDescent="0.3">
      <c r="A216">
        <v>1226</v>
      </c>
      <c r="B216">
        <v>45191</v>
      </c>
      <c r="C216" t="s">
        <v>8</v>
      </c>
      <c r="D216" t="s">
        <v>20</v>
      </c>
      <c r="E216" t="s">
        <v>22</v>
      </c>
      <c r="F216">
        <v>26012</v>
      </c>
      <c r="G216">
        <v>17735</v>
      </c>
      <c r="H216">
        <f t="shared" si="9"/>
        <v>8277</v>
      </c>
      <c r="I216" t="str">
        <f t="shared" si="10"/>
        <v>2023</v>
      </c>
      <c r="J216" t="str">
        <f t="shared" si="11"/>
        <v>09</v>
      </c>
    </row>
    <row r="217" spans="1:10" x14ac:dyDescent="0.3">
      <c r="A217">
        <v>1227</v>
      </c>
      <c r="B217">
        <v>45002</v>
      </c>
      <c r="C217" t="s">
        <v>16</v>
      </c>
      <c r="D217" t="s">
        <v>19</v>
      </c>
      <c r="E217" t="s">
        <v>21</v>
      </c>
      <c r="F217">
        <v>64130</v>
      </c>
      <c r="G217">
        <v>55497</v>
      </c>
      <c r="H217">
        <f t="shared" si="9"/>
        <v>8633</v>
      </c>
      <c r="I217" t="str">
        <f t="shared" si="10"/>
        <v>2023</v>
      </c>
      <c r="J217" t="str">
        <f t="shared" si="11"/>
        <v>03</v>
      </c>
    </row>
    <row r="218" spans="1:10" x14ac:dyDescent="0.3">
      <c r="A218">
        <v>1228</v>
      </c>
      <c r="B218">
        <v>45139</v>
      </c>
      <c r="C218" t="s">
        <v>9</v>
      </c>
      <c r="D218" t="s">
        <v>18</v>
      </c>
      <c r="E218" t="s">
        <v>23</v>
      </c>
      <c r="F218">
        <v>54015</v>
      </c>
      <c r="G218">
        <v>36229</v>
      </c>
      <c r="H218">
        <f t="shared" si="9"/>
        <v>17786</v>
      </c>
      <c r="I218" t="str">
        <f t="shared" si="10"/>
        <v>2023</v>
      </c>
      <c r="J218" t="str">
        <f t="shared" si="11"/>
        <v>08</v>
      </c>
    </row>
    <row r="219" spans="1:10" x14ac:dyDescent="0.3">
      <c r="A219">
        <v>1229</v>
      </c>
      <c r="B219">
        <v>45118</v>
      </c>
      <c r="C219" t="s">
        <v>12</v>
      </c>
      <c r="D219" t="s">
        <v>19</v>
      </c>
      <c r="E219" t="s">
        <v>25</v>
      </c>
      <c r="F219">
        <v>17987</v>
      </c>
      <c r="G219">
        <v>15320</v>
      </c>
      <c r="H219">
        <f t="shared" si="9"/>
        <v>2667</v>
      </c>
      <c r="I219" t="str">
        <f t="shared" si="10"/>
        <v>2023</v>
      </c>
      <c r="J219" t="str">
        <f t="shared" si="11"/>
        <v>07</v>
      </c>
    </row>
    <row r="220" spans="1:10" x14ac:dyDescent="0.3">
      <c r="A220">
        <v>1230</v>
      </c>
      <c r="B220">
        <v>45332</v>
      </c>
      <c r="C220" t="s">
        <v>15</v>
      </c>
      <c r="D220" t="s">
        <v>17</v>
      </c>
      <c r="E220" t="s">
        <v>22</v>
      </c>
      <c r="F220">
        <v>42601</v>
      </c>
      <c r="G220">
        <v>37285</v>
      </c>
      <c r="H220">
        <f t="shared" si="9"/>
        <v>5316</v>
      </c>
      <c r="I220" t="str">
        <f t="shared" si="10"/>
        <v>2024</v>
      </c>
      <c r="J220" t="str">
        <f t="shared" si="11"/>
        <v>02</v>
      </c>
    </row>
    <row r="221" spans="1:10" x14ac:dyDescent="0.3">
      <c r="A221">
        <v>1231</v>
      </c>
      <c r="B221">
        <v>45352</v>
      </c>
      <c r="C221" t="s">
        <v>15</v>
      </c>
      <c r="D221" t="s">
        <v>18</v>
      </c>
      <c r="E221" t="s">
        <v>24</v>
      </c>
      <c r="F221">
        <v>5688</v>
      </c>
      <c r="G221">
        <v>4958</v>
      </c>
      <c r="H221">
        <f t="shared" si="9"/>
        <v>730</v>
      </c>
      <c r="I221" t="str">
        <f t="shared" si="10"/>
        <v>2024</v>
      </c>
      <c r="J221" t="str">
        <f t="shared" si="11"/>
        <v>03</v>
      </c>
    </row>
    <row r="222" spans="1:10" x14ac:dyDescent="0.3">
      <c r="A222">
        <v>1233</v>
      </c>
      <c r="B222">
        <v>45048</v>
      </c>
      <c r="C222" t="s">
        <v>7</v>
      </c>
      <c r="D222" t="s">
        <v>19</v>
      </c>
      <c r="E222" t="s">
        <v>22</v>
      </c>
      <c r="F222">
        <v>36252</v>
      </c>
      <c r="G222">
        <v>26317</v>
      </c>
      <c r="H222">
        <f t="shared" si="9"/>
        <v>9935</v>
      </c>
      <c r="I222" t="str">
        <f t="shared" si="10"/>
        <v>2023</v>
      </c>
      <c r="J222" t="str">
        <f t="shared" si="11"/>
        <v>05</v>
      </c>
    </row>
    <row r="223" spans="1:10" x14ac:dyDescent="0.3">
      <c r="A223">
        <v>1234</v>
      </c>
      <c r="B223">
        <v>45161</v>
      </c>
      <c r="C223" t="s">
        <v>8</v>
      </c>
      <c r="D223" t="s">
        <v>19</v>
      </c>
      <c r="E223" t="s">
        <v>24</v>
      </c>
      <c r="F223">
        <v>75261</v>
      </c>
      <c r="G223">
        <v>45527</v>
      </c>
      <c r="H223">
        <f t="shared" si="9"/>
        <v>29734</v>
      </c>
      <c r="I223" t="str">
        <f t="shared" si="10"/>
        <v>2023</v>
      </c>
      <c r="J223" t="str">
        <f t="shared" si="11"/>
        <v>08</v>
      </c>
    </row>
    <row r="224" spans="1:10" x14ac:dyDescent="0.3">
      <c r="A224">
        <v>1235</v>
      </c>
      <c r="B224">
        <v>45050</v>
      </c>
      <c r="C224" t="s">
        <v>15</v>
      </c>
      <c r="D224" t="s">
        <v>20</v>
      </c>
      <c r="E224" t="s">
        <v>24</v>
      </c>
      <c r="F224">
        <v>5205</v>
      </c>
      <c r="G224">
        <v>4083</v>
      </c>
      <c r="H224">
        <f t="shared" si="9"/>
        <v>1122</v>
      </c>
      <c r="I224" t="str">
        <f t="shared" si="10"/>
        <v>2023</v>
      </c>
      <c r="J224" t="str">
        <f t="shared" si="11"/>
        <v>05</v>
      </c>
    </row>
    <row r="225" spans="1:10" x14ac:dyDescent="0.3">
      <c r="A225">
        <v>1236</v>
      </c>
      <c r="B225">
        <v>45140</v>
      </c>
      <c r="C225" t="s">
        <v>15</v>
      </c>
      <c r="D225" t="s">
        <v>19</v>
      </c>
      <c r="E225" t="s">
        <v>23</v>
      </c>
      <c r="F225">
        <v>52265</v>
      </c>
      <c r="G225">
        <v>32420</v>
      </c>
      <c r="H225">
        <f t="shared" si="9"/>
        <v>19845</v>
      </c>
      <c r="I225" t="str">
        <f t="shared" si="10"/>
        <v>2023</v>
      </c>
      <c r="J225" t="str">
        <f t="shared" si="11"/>
        <v>08</v>
      </c>
    </row>
    <row r="226" spans="1:10" x14ac:dyDescent="0.3">
      <c r="A226">
        <v>1237</v>
      </c>
      <c r="B226">
        <v>45186</v>
      </c>
      <c r="C226" t="s">
        <v>11</v>
      </c>
      <c r="D226" t="s">
        <v>19</v>
      </c>
      <c r="E226" t="s">
        <v>24</v>
      </c>
      <c r="F226">
        <v>66621</v>
      </c>
      <c r="G226">
        <v>40842</v>
      </c>
      <c r="H226">
        <f t="shared" si="9"/>
        <v>25779</v>
      </c>
      <c r="I226" t="str">
        <f t="shared" si="10"/>
        <v>2023</v>
      </c>
      <c r="J226" t="str">
        <f t="shared" si="11"/>
        <v>09</v>
      </c>
    </row>
    <row r="227" spans="1:10" x14ac:dyDescent="0.3">
      <c r="A227">
        <v>1238</v>
      </c>
      <c r="B227">
        <v>45118</v>
      </c>
      <c r="C227" t="s">
        <v>7</v>
      </c>
      <c r="D227" t="s">
        <v>19</v>
      </c>
      <c r="E227" t="s">
        <v>25</v>
      </c>
      <c r="F227">
        <v>13855</v>
      </c>
      <c r="G227">
        <v>9746</v>
      </c>
      <c r="H227">
        <f t="shared" si="9"/>
        <v>4109</v>
      </c>
      <c r="I227" t="str">
        <f t="shared" si="10"/>
        <v>2023</v>
      </c>
      <c r="J227" t="str">
        <f t="shared" si="11"/>
        <v>07</v>
      </c>
    </row>
    <row r="228" spans="1:10" x14ac:dyDescent="0.3">
      <c r="A228">
        <v>1239</v>
      </c>
      <c r="B228">
        <v>45248</v>
      </c>
      <c r="C228" t="s">
        <v>8</v>
      </c>
      <c r="D228" t="s">
        <v>20</v>
      </c>
      <c r="E228" t="s">
        <v>21</v>
      </c>
      <c r="F228">
        <v>10811</v>
      </c>
      <c r="G228">
        <v>7629</v>
      </c>
      <c r="H228">
        <f t="shared" si="9"/>
        <v>3182</v>
      </c>
      <c r="I228" t="str">
        <f t="shared" si="10"/>
        <v>2023</v>
      </c>
      <c r="J228" t="str">
        <f t="shared" si="11"/>
        <v>11</v>
      </c>
    </row>
    <row r="229" spans="1:10" x14ac:dyDescent="0.3">
      <c r="A229">
        <v>1240</v>
      </c>
      <c r="B229">
        <v>45256</v>
      </c>
      <c r="C229" t="s">
        <v>15</v>
      </c>
      <c r="D229" t="s">
        <v>18</v>
      </c>
      <c r="E229" t="s">
        <v>24</v>
      </c>
      <c r="F229">
        <v>28891</v>
      </c>
      <c r="G229">
        <v>24368</v>
      </c>
      <c r="H229">
        <f t="shared" si="9"/>
        <v>4523</v>
      </c>
      <c r="I229" t="str">
        <f t="shared" si="10"/>
        <v>2023</v>
      </c>
      <c r="J229" t="str">
        <f t="shared" si="11"/>
        <v>11</v>
      </c>
    </row>
    <row r="230" spans="1:10" x14ac:dyDescent="0.3">
      <c r="A230">
        <v>1241</v>
      </c>
      <c r="B230">
        <v>45324</v>
      </c>
      <c r="C230" t="s">
        <v>14</v>
      </c>
      <c r="D230" t="s">
        <v>19</v>
      </c>
      <c r="E230" t="s">
        <v>25</v>
      </c>
      <c r="F230">
        <v>31422</v>
      </c>
      <c r="G230">
        <v>19266</v>
      </c>
      <c r="H230">
        <f t="shared" si="9"/>
        <v>12156</v>
      </c>
      <c r="I230" t="str">
        <f t="shared" si="10"/>
        <v>2024</v>
      </c>
      <c r="J230" t="str">
        <f t="shared" si="11"/>
        <v>02</v>
      </c>
    </row>
    <row r="231" spans="1:10" x14ac:dyDescent="0.3">
      <c r="A231">
        <v>1242</v>
      </c>
      <c r="B231">
        <v>44948</v>
      </c>
      <c r="C231" t="s">
        <v>10</v>
      </c>
      <c r="D231" t="s">
        <v>20</v>
      </c>
      <c r="E231" t="s">
        <v>23</v>
      </c>
      <c r="F231">
        <v>57196</v>
      </c>
      <c r="G231">
        <v>51289</v>
      </c>
      <c r="H231">
        <f t="shared" si="9"/>
        <v>5907</v>
      </c>
      <c r="I231" t="str">
        <f t="shared" si="10"/>
        <v>2023</v>
      </c>
      <c r="J231" t="str">
        <f t="shared" si="11"/>
        <v>01</v>
      </c>
    </row>
    <row r="232" spans="1:10" x14ac:dyDescent="0.3">
      <c r="A232">
        <v>1243</v>
      </c>
      <c r="B232">
        <v>45056</v>
      </c>
      <c r="C232" t="s">
        <v>9</v>
      </c>
      <c r="D232" t="s">
        <v>17</v>
      </c>
      <c r="E232" t="s">
        <v>25</v>
      </c>
      <c r="F232">
        <v>51789</v>
      </c>
      <c r="G232">
        <v>44468</v>
      </c>
      <c r="H232">
        <f t="shared" si="9"/>
        <v>7321</v>
      </c>
      <c r="I232" t="str">
        <f t="shared" si="10"/>
        <v>2023</v>
      </c>
      <c r="J232" t="str">
        <f t="shared" si="11"/>
        <v>05</v>
      </c>
    </row>
    <row r="233" spans="1:10" x14ac:dyDescent="0.3">
      <c r="A233">
        <v>1245</v>
      </c>
      <c r="B233">
        <v>45152</v>
      </c>
      <c r="C233" t="s">
        <v>16</v>
      </c>
      <c r="D233" t="s">
        <v>20</v>
      </c>
      <c r="E233" t="s">
        <v>21</v>
      </c>
      <c r="F233">
        <v>70038</v>
      </c>
      <c r="G233">
        <v>56564</v>
      </c>
      <c r="H233">
        <f t="shared" si="9"/>
        <v>13474</v>
      </c>
      <c r="I233" t="str">
        <f t="shared" si="10"/>
        <v>2023</v>
      </c>
      <c r="J233" t="str">
        <f t="shared" si="11"/>
        <v>08</v>
      </c>
    </row>
    <row r="234" spans="1:10" x14ac:dyDescent="0.3">
      <c r="A234">
        <v>1246</v>
      </c>
      <c r="B234">
        <v>45335</v>
      </c>
      <c r="C234" t="s">
        <v>11</v>
      </c>
      <c r="D234" t="s">
        <v>20</v>
      </c>
      <c r="E234" t="s">
        <v>22</v>
      </c>
      <c r="F234">
        <v>60640</v>
      </c>
      <c r="G234">
        <v>37819</v>
      </c>
      <c r="H234">
        <f t="shared" si="9"/>
        <v>22821</v>
      </c>
      <c r="I234" t="str">
        <f t="shared" si="10"/>
        <v>2024</v>
      </c>
      <c r="J234" t="str">
        <f t="shared" si="11"/>
        <v>02</v>
      </c>
    </row>
    <row r="235" spans="1:10" x14ac:dyDescent="0.3">
      <c r="A235">
        <v>1247</v>
      </c>
      <c r="B235">
        <v>45348</v>
      </c>
      <c r="C235" t="s">
        <v>15</v>
      </c>
      <c r="D235" t="s">
        <v>20</v>
      </c>
      <c r="E235" t="s">
        <v>25</v>
      </c>
      <c r="F235">
        <v>18447</v>
      </c>
      <c r="G235">
        <v>11511</v>
      </c>
      <c r="H235">
        <f t="shared" si="9"/>
        <v>6936</v>
      </c>
      <c r="I235" t="str">
        <f t="shared" si="10"/>
        <v>2024</v>
      </c>
      <c r="J235" t="str">
        <f t="shared" si="11"/>
        <v>02</v>
      </c>
    </row>
    <row r="236" spans="1:10" x14ac:dyDescent="0.3">
      <c r="A236">
        <v>1248</v>
      </c>
      <c r="B236">
        <v>45083</v>
      </c>
      <c r="C236" t="s">
        <v>14</v>
      </c>
      <c r="D236" t="s">
        <v>18</v>
      </c>
      <c r="E236" t="s">
        <v>21</v>
      </c>
      <c r="F236">
        <v>63183</v>
      </c>
      <c r="G236">
        <v>44573</v>
      </c>
      <c r="H236">
        <f t="shared" si="9"/>
        <v>18610</v>
      </c>
      <c r="I236" t="str">
        <f t="shared" si="10"/>
        <v>2023</v>
      </c>
      <c r="J236" t="str">
        <f t="shared" si="11"/>
        <v>06</v>
      </c>
    </row>
    <row r="237" spans="1:10" x14ac:dyDescent="0.3">
      <c r="A237">
        <v>1250</v>
      </c>
      <c r="B237">
        <v>45113</v>
      </c>
      <c r="C237" t="s">
        <v>11</v>
      </c>
      <c r="D237" t="s">
        <v>17</v>
      </c>
      <c r="E237" t="s">
        <v>22</v>
      </c>
      <c r="F237">
        <v>23714</v>
      </c>
      <c r="G237">
        <v>20266</v>
      </c>
      <c r="H237">
        <f t="shared" si="9"/>
        <v>3448</v>
      </c>
      <c r="I237" t="str">
        <f t="shared" si="10"/>
        <v>2023</v>
      </c>
      <c r="J237" t="str">
        <f t="shared" si="11"/>
        <v>07</v>
      </c>
    </row>
    <row r="238" spans="1:10" x14ac:dyDescent="0.3">
      <c r="A238">
        <v>1251</v>
      </c>
      <c r="B238">
        <v>45151</v>
      </c>
      <c r="C238" t="s">
        <v>9</v>
      </c>
      <c r="D238" t="s">
        <v>17</v>
      </c>
      <c r="E238" t="s">
        <v>22</v>
      </c>
      <c r="F238">
        <v>35932</v>
      </c>
      <c r="G238">
        <v>29951</v>
      </c>
      <c r="H238">
        <f t="shared" si="9"/>
        <v>5981</v>
      </c>
      <c r="I238" t="str">
        <f t="shared" si="10"/>
        <v>2023</v>
      </c>
      <c r="J238" t="str">
        <f t="shared" si="11"/>
        <v>08</v>
      </c>
    </row>
    <row r="239" spans="1:10" x14ac:dyDescent="0.3">
      <c r="A239">
        <v>1252</v>
      </c>
      <c r="B239">
        <v>45123</v>
      </c>
      <c r="C239" t="s">
        <v>13</v>
      </c>
      <c r="D239" t="s">
        <v>19</v>
      </c>
      <c r="E239" t="s">
        <v>23</v>
      </c>
      <c r="F239">
        <v>25111</v>
      </c>
      <c r="G239">
        <v>20182</v>
      </c>
      <c r="H239">
        <f t="shared" si="9"/>
        <v>4929</v>
      </c>
      <c r="I239" t="str">
        <f t="shared" si="10"/>
        <v>2023</v>
      </c>
      <c r="J239" t="str">
        <f t="shared" si="11"/>
        <v>07</v>
      </c>
    </row>
    <row r="240" spans="1:10" x14ac:dyDescent="0.3">
      <c r="A240">
        <v>1253</v>
      </c>
      <c r="B240">
        <v>45117</v>
      </c>
      <c r="C240" t="s">
        <v>14</v>
      </c>
      <c r="D240" t="s">
        <v>19</v>
      </c>
      <c r="E240" t="s">
        <v>23</v>
      </c>
      <c r="F240">
        <v>23047</v>
      </c>
      <c r="G240">
        <v>17488</v>
      </c>
      <c r="H240">
        <f t="shared" si="9"/>
        <v>5559</v>
      </c>
      <c r="I240" t="str">
        <f t="shared" si="10"/>
        <v>2023</v>
      </c>
      <c r="J240" t="str">
        <f t="shared" si="11"/>
        <v>07</v>
      </c>
    </row>
    <row r="241" spans="1:10" x14ac:dyDescent="0.3">
      <c r="A241">
        <v>1254</v>
      </c>
      <c r="B241">
        <v>45259</v>
      </c>
      <c r="C241" t="s">
        <v>7</v>
      </c>
      <c r="D241" t="s">
        <v>17</v>
      </c>
      <c r="E241" t="s">
        <v>22</v>
      </c>
      <c r="F241">
        <v>8396</v>
      </c>
      <c r="G241">
        <v>6890</v>
      </c>
      <c r="H241">
        <f t="shared" si="9"/>
        <v>1506</v>
      </c>
      <c r="I241" t="str">
        <f t="shared" si="10"/>
        <v>2023</v>
      </c>
      <c r="J241" t="str">
        <f t="shared" si="11"/>
        <v>11</v>
      </c>
    </row>
    <row r="242" spans="1:10" x14ac:dyDescent="0.3">
      <c r="A242">
        <v>1255</v>
      </c>
      <c r="B242">
        <v>45125</v>
      </c>
      <c r="C242" t="s">
        <v>11</v>
      </c>
      <c r="D242" t="s">
        <v>19</v>
      </c>
      <c r="E242" t="s">
        <v>25</v>
      </c>
      <c r="F242">
        <v>39116</v>
      </c>
      <c r="G242">
        <v>31731</v>
      </c>
      <c r="H242">
        <f t="shared" si="9"/>
        <v>7385</v>
      </c>
      <c r="I242" t="str">
        <f t="shared" si="10"/>
        <v>2023</v>
      </c>
      <c r="J242" t="str">
        <f t="shared" si="11"/>
        <v>07</v>
      </c>
    </row>
    <row r="243" spans="1:10" x14ac:dyDescent="0.3">
      <c r="A243">
        <v>1256</v>
      </c>
      <c r="B243">
        <v>45240</v>
      </c>
      <c r="C243" t="s">
        <v>7</v>
      </c>
      <c r="D243" t="s">
        <v>18</v>
      </c>
      <c r="E243" t="s">
        <v>21</v>
      </c>
      <c r="F243">
        <v>21074</v>
      </c>
      <c r="G243">
        <v>13502</v>
      </c>
      <c r="H243">
        <f t="shared" si="9"/>
        <v>7572</v>
      </c>
      <c r="I243" t="str">
        <f t="shared" si="10"/>
        <v>2023</v>
      </c>
      <c r="J243" t="str">
        <f t="shared" si="11"/>
        <v>11</v>
      </c>
    </row>
    <row r="244" spans="1:10" x14ac:dyDescent="0.3">
      <c r="A244">
        <v>1257</v>
      </c>
      <c r="B244">
        <v>45015</v>
      </c>
      <c r="C244" t="s">
        <v>14</v>
      </c>
      <c r="D244" t="s">
        <v>19</v>
      </c>
      <c r="E244" t="s">
        <v>25</v>
      </c>
      <c r="F244">
        <v>50537</v>
      </c>
      <c r="G244">
        <v>41079</v>
      </c>
      <c r="H244">
        <f t="shared" si="9"/>
        <v>9458</v>
      </c>
      <c r="I244" t="str">
        <f t="shared" si="10"/>
        <v>2023</v>
      </c>
      <c r="J244" t="str">
        <f t="shared" si="11"/>
        <v>03</v>
      </c>
    </row>
    <row r="245" spans="1:10" x14ac:dyDescent="0.3">
      <c r="A245">
        <v>1258</v>
      </c>
      <c r="B245">
        <v>45075</v>
      </c>
      <c r="C245" t="s">
        <v>7</v>
      </c>
      <c r="D245" t="s">
        <v>17</v>
      </c>
      <c r="E245" t="s">
        <v>21</v>
      </c>
      <c r="F245">
        <v>52381</v>
      </c>
      <c r="G245">
        <v>39423</v>
      </c>
      <c r="H245">
        <f t="shared" si="9"/>
        <v>12958</v>
      </c>
      <c r="I245" t="str">
        <f t="shared" si="10"/>
        <v>2023</v>
      </c>
      <c r="J245" t="str">
        <f t="shared" si="11"/>
        <v>05</v>
      </c>
    </row>
    <row r="246" spans="1:10" x14ac:dyDescent="0.3">
      <c r="A246">
        <v>1259</v>
      </c>
      <c r="B246">
        <v>45029</v>
      </c>
      <c r="C246" t="s">
        <v>15</v>
      </c>
      <c r="D246" t="s">
        <v>17</v>
      </c>
      <c r="E246" t="s">
        <v>24</v>
      </c>
      <c r="F246">
        <v>8445</v>
      </c>
      <c r="G246">
        <v>5981</v>
      </c>
      <c r="H246">
        <f t="shared" si="9"/>
        <v>2464</v>
      </c>
      <c r="I246" t="str">
        <f t="shared" si="10"/>
        <v>2023</v>
      </c>
      <c r="J246" t="str">
        <f t="shared" si="11"/>
        <v>04</v>
      </c>
    </row>
    <row r="247" spans="1:10" x14ac:dyDescent="0.3">
      <c r="A247">
        <v>1260</v>
      </c>
      <c r="B247">
        <v>45166</v>
      </c>
      <c r="C247" t="s">
        <v>11</v>
      </c>
      <c r="D247" t="s">
        <v>17</v>
      </c>
      <c r="E247" t="s">
        <v>23</v>
      </c>
      <c r="F247">
        <v>16300</v>
      </c>
      <c r="G247">
        <v>10101</v>
      </c>
      <c r="H247">
        <f t="shared" si="9"/>
        <v>6199</v>
      </c>
      <c r="I247" t="str">
        <f t="shared" si="10"/>
        <v>2023</v>
      </c>
      <c r="J247" t="str">
        <f t="shared" si="11"/>
        <v>08</v>
      </c>
    </row>
    <row r="248" spans="1:10" x14ac:dyDescent="0.3">
      <c r="A248">
        <v>1261</v>
      </c>
      <c r="B248">
        <v>45294</v>
      </c>
      <c r="C248" t="s">
        <v>14</v>
      </c>
      <c r="D248" t="s">
        <v>18</v>
      </c>
      <c r="E248" t="s">
        <v>24</v>
      </c>
      <c r="F248">
        <v>14666</v>
      </c>
      <c r="G248">
        <v>9351</v>
      </c>
      <c r="H248">
        <f t="shared" si="9"/>
        <v>5315</v>
      </c>
      <c r="I248" t="str">
        <f t="shared" si="10"/>
        <v>2024</v>
      </c>
      <c r="J248" t="str">
        <f t="shared" si="11"/>
        <v>01</v>
      </c>
    </row>
    <row r="249" spans="1:10" x14ac:dyDescent="0.3">
      <c r="A249">
        <v>1262</v>
      </c>
      <c r="B249">
        <v>44964</v>
      </c>
      <c r="C249" t="s">
        <v>14</v>
      </c>
      <c r="D249" t="s">
        <v>18</v>
      </c>
      <c r="E249" t="s">
        <v>23</v>
      </c>
      <c r="F249">
        <v>50156</v>
      </c>
      <c r="G249">
        <v>32024</v>
      </c>
      <c r="H249">
        <f t="shared" si="9"/>
        <v>18132</v>
      </c>
      <c r="I249" t="str">
        <f t="shared" si="10"/>
        <v>2023</v>
      </c>
      <c r="J249" t="str">
        <f t="shared" si="11"/>
        <v>02</v>
      </c>
    </row>
    <row r="250" spans="1:10" x14ac:dyDescent="0.3">
      <c r="A250">
        <v>1263</v>
      </c>
      <c r="B250">
        <v>45209</v>
      </c>
      <c r="C250" t="s">
        <v>13</v>
      </c>
      <c r="D250" t="s">
        <v>17</v>
      </c>
      <c r="E250" t="s">
        <v>21</v>
      </c>
      <c r="F250">
        <v>61704</v>
      </c>
      <c r="G250">
        <v>46331</v>
      </c>
      <c r="H250">
        <f t="shared" si="9"/>
        <v>15373</v>
      </c>
      <c r="I250" t="str">
        <f t="shared" si="10"/>
        <v>2023</v>
      </c>
      <c r="J250" t="str">
        <f t="shared" si="11"/>
        <v>10</v>
      </c>
    </row>
    <row r="251" spans="1:10" x14ac:dyDescent="0.3">
      <c r="A251">
        <v>1264</v>
      </c>
      <c r="B251">
        <v>45352</v>
      </c>
      <c r="C251" t="s">
        <v>8</v>
      </c>
      <c r="D251" t="s">
        <v>17</v>
      </c>
      <c r="E251" t="s">
        <v>25</v>
      </c>
      <c r="F251">
        <v>26581</v>
      </c>
      <c r="G251">
        <v>17240</v>
      </c>
      <c r="H251">
        <f t="shared" si="9"/>
        <v>9341</v>
      </c>
      <c r="I251" t="str">
        <f t="shared" si="10"/>
        <v>2024</v>
      </c>
      <c r="J251" t="str">
        <f t="shared" si="11"/>
        <v>03</v>
      </c>
    </row>
    <row r="252" spans="1:10" x14ac:dyDescent="0.3">
      <c r="A252">
        <v>1265</v>
      </c>
      <c r="B252">
        <v>45042</v>
      </c>
      <c r="C252" t="s">
        <v>10</v>
      </c>
      <c r="D252" t="s">
        <v>20</v>
      </c>
      <c r="E252" t="s">
        <v>22</v>
      </c>
      <c r="F252">
        <v>37847</v>
      </c>
      <c r="G252">
        <v>24937</v>
      </c>
      <c r="H252">
        <f t="shared" si="9"/>
        <v>12910</v>
      </c>
      <c r="I252" t="str">
        <f t="shared" si="10"/>
        <v>2023</v>
      </c>
      <c r="J252" t="str">
        <f t="shared" si="11"/>
        <v>04</v>
      </c>
    </row>
    <row r="253" spans="1:10" x14ac:dyDescent="0.3">
      <c r="A253">
        <v>1266</v>
      </c>
      <c r="B253">
        <v>45067</v>
      </c>
      <c r="C253" t="s">
        <v>15</v>
      </c>
      <c r="D253" t="s">
        <v>20</v>
      </c>
      <c r="E253" t="s">
        <v>23</v>
      </c>
      <c r="F253">
        <v>74924</v>
      </c>
      <c r="G253">
        <v>47054</v>
      </c>
      <c r="H253">
        <f t="shared" si="9"/>
        <v>27870</v>
      </c>
      <c r="I253" t="str">
        <f t="shared" si="10"/>
        <v>2023</v>
      </c>
      <c r="J253" t="str">
        <f t="shared" si="11"/>
        <v>05</v>
      </c>
    </row>
    <row r="254" spans="1:10" x14ac:dyDescent="0.3">
      <c r="A254">
        <v>1267</v>
      </c>
      <c r="B254">
        <v>45230</v>
      </c>
      <c r="C254" t="s">
        <v>13</v>
      </c>
      <c r="D254" t="s">
        <v>17</v>
      </c>
      <c r="E254" t="s">
        <v>21</v>
      </c>
      <c r="F254">
        <v>49252</v>
      </c>
      <c r="G254">
        <v>42000</v>
      </c>
      <c r="H254">
        <f t="shared" si="9"/>
        <v>7252</v>
      </c>
      <c r="I254" t="str">
        <f t="shared" si="10"/>
        <v>2023</v>
      </c>
      <c r="J254" t="str">
        <f t="shared" si="11"/>
        <v>10</v>
      </c>
    </row>
    <row r="255" spans="1:10" x14ac:dyDescent="0.3">
      <c r="A255">
        <v>1268</v>
      </c>
      <c r="B255">
        <v>45349</v>
      </c>
      <c r="C255" t="s">
        <v>9</v>
      </c>
      <c r="D255" t="s">
        <v>19</v>
      </c>
      <c r="E255" t="s">
        <v>22</v>
      </c>
      <c r="F255">
        <v>39688</v>
      </c>
      <c r="G255">
        <v>31565</v>
      </c>
      <c r="H255">
        <f t="shared" si="9"/>
        <v>8123</v>
      </c>
      <c r="I255" t="str">
        <f t="shared" si="10"/>
        <v>2024</v>
      </c>
      <c r="J255" t="str">
        <f t="shared" si="11"/>
        <v>02</v>
      </c>
    </row>
    <row r="256" spans="1:10" x14ac:dyDescent="0.3">
      <c r="A256">
        <v>1269</v>
      </c>
      <c r="B256">
        <v>45140</v>
      </c>
      <c r="C256" t="s">
        <v>13</v>
      </c>
      <c r="D256" t="s">
        <v>19</v>
      </c>
      <c r="E256" t="s">
        <v>24</v>
      </c>
      <c r="F256">
        <v>76509</v>
      </c>
      <c r="G256">
        <v>52554</v>
      </c>
      <c r="H256">
        <f t="shared" si="9"/>
        <v>23955</v>
      </c>
      <c r="I256" t="str">
        <f t="shared" si="10"/>
        <v>2023</v>
      </c>
      <c r="J256" t="str">
        <f t="shared" si="11"/>
        <v>08</v>
      </c>
    </row>
    <row r="257" spans="1:10" x14ac:dyDescent="0.3">
      <c r="A257">
        <v>1270</v>
      </c>
      <c r="B257">
        <v>45174</v>
      </c>
      <c r="C257" t="s">
        <v>12</v>
      </c>
      <c r="D257" t="s">
        <v>18</v>
      </c>
      <c r="E257" t="s">
        <v>25</v>
      </c>
      <c r="F257">
        <v>64446</v>
      </c>
      <c r="G257">
        <v>40078</v>
      </c>
      <c r="H257">
        <f t="shared" si="9"/>
        <v>24368</v>
      </c>
      <c r="I257" t="str">
        <f t="shared" si="10"/>
        <v>2023</v>
      </c>
      <c r="J257" t="str">
        <f t="shared" si="11"/>
        <v>09</v>
      </c>
    </row>
    <row r="258" spans="1:10" x14ac:dyDescent="0.3">
      <c r="A258">
        <v>1271</v>
      </c>
      <c r="B258">
        <v>45152</v>
      </c>
      <c r="C258" t="s">
        <v>16</v>
      </c>
      <c r="D258" t="s">
        <v>18</v>
      </c>
      <c r="E258" t="s">
        <v>24</v>
      </c>
      <c r="F258">
        <v>31741</v>
      </c>
      <c r="G258">
        <v>22284</v>
      </c>
      <c r="H258">
        <f t="shared" ref="H258:H321" si="12">F258-G258</f>
        <v>9457</v>
      </c>
      <c r="I258" t="str">
        <f t="shared" ref="I258:I321" si="13">TEXT(B258,"yyyy")</f>
        <v>2023</v>
      </c>
      <c r="J258" t="str">
        <f t="shared" ref="J258:J321" si="14">TEXT(B258,"mm")</f>
        <v>08</v>
      </c>
    </row>
    <row r="259" spans="1:10" x14ac:dyDescent="0.3">
      <c r="A259">
        <v>1272</v>
      </c>
      <c r="B259">
        <v>45368</v>
      </c>
      <c r="C259" t="s">
        <v>10</v>
      </c>
      <c r="D259" t="s">
        <v>20</v>
      </c>
      <c r="E259" t="s">
        <v>24</v>
      </c>
      <c r="F259">
        <v>22139</v>
      </c>
      <c r="G259">
        <v>18335</v>
      </c>
      <c r="H259">
        <f t="shared" si="12"/>
        <v>3804</v>
      </c>
      <c r="I259" t="str">
        <f t="shared" si="13"/>
        <v>2024</v>
      </c>
      <c r="J259" t="str">
        <f t="shared" si="14"/>
        <v>03</v>
      </c>
    </row>
    <row r="260" spans="1:10" x14ac:dyDescent="0.3">
      <c r="A260">
        <v>1273</v>
      </c>
      <c r="B260">
        <v>44981</v>
      </c>
      <c r="C260" t="s">
        <v>10</v>
      </c>
      <c r="D260" t="s">
        <v>17</v>
      </c>
      <c r="E260" t="s">
        <v>24</v>
      </c>
      <c r="F260">
        <v>21059</v>
      </c>
      <c r="G260">
        <v>14325</v>
      </c>
      <c r="H260">
        <f t="shared" si="12"/>
        <v>6734</v>
      </c>
      <c r="I260" t="str">
        <f t="shared" si="13"/>
        <v>2023</v>
      </c>
      <c r="J260" t="str">
        <f t="shared" si="14"/>
        <v>02</v>
      </c>
    </row>
    <row r="261" spans="1:10" x14ac:dyDescent="0.3">
      <c r="A261">
        <v>1274</v>
      </c>
      <c r="B261">
        <v>44976</v>
      </c>
      <c r="C261" t="s">
        <v>9</v>
      </c>
      <c r="D261" t="s">
        <v>20</v>
      </c>
      <c r="E261" t="s">
        <v>24</v>
      </c>
      <c r="F261">
        <v>59805</v>
      </c>
      <c r="G261">
        <v>40337</v>
      </c>
      <c r="H261">
        <f t="shared" si="12"/>
        <v>19468</v>
      </c>
      <c r="I261" t="str">
        <f t="shared" si="13"/>
        <v>2023</v>
      </c>
      <c r="J261" t="str">
        <f t="shared" si="14"/>
        <v>02</v>
      </c>
    </row>
    <row r="262" spans="1:10" x14ac:dyDescent="0.3">
      <c r="A262">
        <v>1275</v>
      </c>
      <c r="B262">
        <v>45008</v>
      </c>
      <c r="C262" t="s">
        <v>10</v>
      </c>
      <c r="D262" t="s">
        <v>20</v>
      </c>
      <c r="E262" t="s">
        <v>21</v>
      </c>
      <c r="F262">
        <v>25885</v>
      </c>
      <c r="G262">
        <v>19400</v>
      </c>
      <c r="H262">
        <f t="shared" si="12"/>
        <v>6485</v>
      </c>
      <c r="I262" t="str">
        <f t="shared" si="13"/>
        <v>2023</v>
      </c>
      <c r="J262" t="str">
        <f t="shared" si="14"/>
        <v>03</v>
      </c>
    </row>
    <row r="263" spans="1:10" x14ac:dyDescent="0.3">
      <c r="A263">
        <v>1276</v>
      </c>
      <c r="B263">
        <v>45182</v>
      </c>
      <c r="C263" t="s">
        <v>7</v>
      </c>
      <c r="D263" t="s">
        <v>18</v>
      </c>
      <c r="E263" t="s">
        <v>22</v>
      </c>
      <c r="F263">
        <v>16802</v>
      </c>
      <c r="G263">
        <v>14845</v>
      </c>
      <c r="H263">
        <f t="shared" si="12"/>
        <v>1957</v>
      </c>
      <c r="I263" t="str">
        <f t="shared" si="13"/>
        <v>2023</v>
      </c>
      <c r="J263" t="str">
        <f t="shared" si="14"/>
        <v>09</v>
      </c>
    </row>
    <row r="264" spans="1:10" x14ac:dyDescent="0.3">
      <c r="A264">
        <v>1277</v>
      </c>
      <c r="B264">
        <v>45050</v>
      </c>
      <c r="C264" t="s">
        <v>12</v>
      </c>
      <c r="D264" t="s">
        <v>20</v>
      </c>
      <c r="E264" t="s">
        <v>22</v>
      </c>
      <c r="F264">
        <v>11624</v>
      </c>
      <c r="G264">
        <v>7955</v>
      </c>
      <c r="H264">
        <f t="shared" si="12"/>
        <v>3669</v>
      </c>
      <c r="I264" t="str">
        <f t="shared" si="13"/>
        <v>2023</v>
      </c>
      <c r="J264" t="str">
        <f t="shared" si="14"/>
        <v>05</v>
      </c>
    </row>
    <row r="265" spans="1:10" x14ac:dyDescent="0.3">
      <c r="A265">
        <v>1278</v>
      </c>
      <c r="B265">
        <v>45358</v>
      </c>
      <c r="C265" t="s">
        <v>14</v>
      </c>
      <c r="D265" t="s">
        <v>20</v>
      </c>
      <c r="E265" t="s">
        <v>23</v>
      </c>
      <c r="F265">
        <v>6071</v>
      </c>
      <c r="G265">
        <v>5185</v>
      </c>
      <c r="H265">
        <f t="shared" si="12"/>
        <v>886</v>
      </c>
      <c r="I265" t="str">
        <f t="shared" si="13"/>
        <v>2024</v>
      </c>
      <c r="J265" t="str">
        <f t="shared" si="14"/>
        <v>03</v>
      </c>
    </row>
    <row r="266" spans="1:10" x14ac:dyDescent="0.3">
      <c r="A266">
        <v>1279</v>
      </c>
      <c r="B266">
        <v>45062</v>
      </c>
      <c r="C266" t="s">
        <v>10</v>
      </c>
      <c r="D266" t="s">
        <v>18</v>
      </c>
      <c r="E266" t="s">
        <v>25</v>
      </c>
      <c r="F266">
        <v>10930</v>
      </c>
      <c r="G266">
        <v>7871</v>
      </c>
      <c r="H266">
        <f t="shared" si="12"/>
        <v>3059</v>
      </c>
      <c r="I266" t="str">
        <f t="shared" si="13"/>
        <v>2023</v>
      </c>
      <c r="J266" t="str">
        <f t="shared" si="14"/>
        <v>05</v>
      </c>
    </row>
    <row r="267" spans="1:10" x14ac:dyDescent="0.3">
      <c r="A267">
        <v>1280</v>
      </c>
      <c r="B267">
        <v>45026</v>
      </c>
      <c r="C267" t="s">
        <v>10</v>
      </c>
      <c r="D267" t="s">
        <v>20</v>
      </c>
      <c r="E267" t="s">
        <v>22</v>
      </c>
      <c r="F267">
        <v>55639</v>
      </c>
      <c r="G267">
        <v>41800</v>
      </c>
      <c r="H267">
        <f t="shared" si="12"/>
        <v>13839</v>
      </c>
      <c r="I267" t="str">
        <f t="shared" si="13"/>
        <v>2023</v>
      </c>
      <c r="J267" t="str">
        <f t="shared" si="14"/>
        <v>04</v>
      </c>
    </row>
    <row r="268" spans="1:10" x14ac:dyDescent="0.3">
      <c r="A268">
        <v>1281</v>
      </c>
      <c r="B268">
        <v>45070</v>
      </c>
      <c r="C268" t="s">
        <v>13</v>
      </c>
      <c r="D268" t="s">
        <v>19</v>
      </c>
      <c r="E268" t="s">
        <v>21</v>
      </c>
      <c r="F268">
        <v>17672</v>
      </c>
      <c r="G268">
        <v>12691</v>
      </c>
      <c r="H268">
        <f t="shared" si="12"/>
        <v>4981</v>
      </c>
      <c r="I268" t="str">
        <f t="shared" si="13"/>
        <v>2023</v>
      </c>
      <c r="J268" t="str">
        <f t="shared" si="14"/>
        <v>05</v>
      </c>
    </row>
    <row r="269" spans="1:10" x14ac:dyDescent="0.3">
      <c r="A269">
        <v>1282</v>
      </c>
      <c r="B269">
        <v>45100</v>
      </c>
      <c r="C269" t="s">
        <v>11</v>
      </c>
      <c r="D269" t="s">
        <v>20</v>
      </c>
      <c r="E269" t="s">
        <v>21</v>
      </c>
      <c r="F269">
        <v>31090</v>
      </c>
      <c r="G269">
        <v>24273</v>
      </c>
      <c r="H269">
        <f t="shared" si="12"/>
        <v>6817</v>
      </c>
      <c r="I269" t="str">
        <f t="shared" si="13"/>
        <v>2023</v>
      </c>
      <c r="J269" t="str">
        <f t="shared" si="14"/>
        <v>06</v>
      </c>
    </row>
    <row r="270" spans="1:10" x14ac:dyDescent="0.3">
      <c r="A270">
        <v>1283</v>
      </c>
      <c r="B270">
        <v>44947</v>
      </c>
      <c r="C270" t="s">
        <v>9</v>
      </c>
      <c r="D270" t="s">
        <v>19</v>
      </c>
      <c r="E270" t="s">
        <v>21</v>
      </c>
      <c r="F270">
        <v>48652</v>
      </c>
      <c r="G270">
        <v>40925</v>
      </c>
      <c r="H270">
        <f t="shared" si="12"/>
        <v>7727</v>
      </c>
      <c r="I270" t="str">
        <f t="shared" si="13"/>
        <v>2023</v>
      </c>
      <c r="J270" t="str">
        <f t="shared" si="14"/>
        <v>01</v>
      </c>
    </row>
    <row r="271" spans="1:10" x14ac:dyDescent="0.3">
      <c r="A271">
        <v>1284</v>
      </c>
      <c r="B271">
        <v>45003</v>
      </c>
      <c r="C271" t="s">
        <v>13</v>
      </c>
      <c r="D271" t="s">
        <v>17</v>
      </c>
      <c r="E271" t="s">
        <v>25</v>
      </c>
      <c r="F271">
        <v>46750</v>
      </c>
      <c r="G271">
        <v>30329</v>
      </c>
      <c r="H271">
        <f t="shared" si="12"/>
        <v>16421</v>
      </c>
      <c r="I271" t="str">
        <f t="shared" si="13"/>
        <v>2023</v>
      </c>
      <c r="J271" t="str">
        <f t="shared" si="14"/>
        <v>03</v>
      </c>
    </row>
    <row r="272" spans="1:10" x14ac:dyDescent="0.3">
      <c r="A272">
        <v>1285</v>
      </c>
      <c r="B272">
        <v>45305</v>
      </c>
      <c r="C272" t="s">
        <v>7</v>
      </c>
      <c r="D272" t="s">
        <v>20</v>
      </c>
      <c r="E272" t="s">
        <v>23</v>
      </c>
      <c r="F272">
        <v>71809</v>
      </c>
      <c r="G272">
        <v>54553</v>
      </c>
      <c r="H272">
        <f t="shared" si="12"/>
        <v>17256</v>
      </c>
      <c r="I272" t="str">
        <f t="shared" si="13"/>
        <v>2024</v>
      </c>
      <c r="J272" t="str">
        <f t="shared" si="14"/>
        <v>01</v>
      </c>
    </row>
    <row r="273" spans="1:10" x14ac:dyDescent="0.3">
      <c r="A273">
        <v>1286</v>
      </c>
      <c r="B273">
        <v>45080</v>
      </c>
      <c r="C273" t="s">
        <v>14</v>
      </c>
      <c r="D273" t="s">
        <v>19</v>
      </c>
      <c r="E273" t="s">
        <v>25</v>
      </c>
      <c r="F273">
        <v>48416</v>
      </c>
      <c r="G273">
        <v>38836</v>
      </c>
      <c r="H273">
        <f t="shared" si="12"/>
        <v>9580</v>
      </c>
      <c r="I273" t="str">
        <f t="shared" si="13"/>
        <v>2023</v>
      </c>
      <c r="J273" t="str">
        <f t="shared" si="14"/>
        <v>06</v>
      </c>
    </row>
    <row r="274" spans="1:10" x14ac:dyDescent="0.3">
      <c r="A274">
        <v>1287</v>
      </c>
      <c r="B274">
        <v>45225</v>
      </c>
      <c r="C274" t="s">
        <v>7</v>
      </c>
      <c r="D274" t="s">
        <v>19</v>
      </c>
      <c r="E274" t="s">
        <v>23</v>
      </c>
      <c r="F274">
        <v>67205</v>
      </c>
      <c r="G274">
        <v>45676</v>
      </c>
      <c r="H274">
        <f t="shared" si="12"/>
        <v>21529</v>
      </c>
      <c r="I274" t="str">
        <f t="shared" si="13"/>
        <v>2023</v>
      </c>
      <c r="J274" t="str">
        <f t="shared" si="14"/>
        <v>10</v>
      </c>
    </row>
    <row r="275" spans="1:10" x14ac:dyDescent="0.3">
      <c r="A275">
        <v>1288</v>
      </c>
      <c r="B275">
        <v>45324</v>
      </c>
      <c r="C275" t="s">
        <v>13</v>
      </c>
      <c r="D275" t="s">
        <v>17</v>
      </c>
      <c r="E275" t="s">
        <v>22</v>
      </c>
      <c r="F275">
        <v>67973</v>
      </c>
      <c r="G275">
        <v>44260</v>
      </c>
      <c r="H275">
        <f t="shared" si="12"/>
        <v>23713</v>
      </c>
      <c r="I275" t="str">
        <f t="shared" si="13"/>
        <v>2024</v>
      </c>
      <c r="J275" t="str">
        <f t="shared" si="14"/>
        <v>02</v>
      </c>
    </row>
    <row r="276" spans="1:10" x14ac:dyDescent="0.3">
      <c r="A276">
        <v>1289</v>
      </c>
      <c r="B276">
        <v>45244</v>
      </c>
      <c r="C276" t="s">
        <v>16</v>
      </c>
      <c r="D276" t="s">
        <v>17</v>
      </c>
      <c r="E276" t="s">
        <v>21</v>
      </c>
      <c r="F276">
        <v>9138</v>
      </c>
      <c r="G276">
        <v>7052</v>
      </c>
      <c r="H276">
        <f t="shared" si="12"/>
        <v>2086</v>
      </c>
      <c r="I276" t="str">
        <f t="shared" si="13"/>
        <v>2023</v>
      </c>
      <c r="J276" t="str">
        <f t="shared" si="14"/>
        <v>11</v>
      </c>
    </row>
    <row r="277" spans="1:10" x14ac:dyDescent="0.3">
      <c r="A277">
        <v>1290</v>
      </c>
      <c r="B277">
        <v>45024</v>
      </c>
      <c r="C277" t="s">
        <v>9</v>
      </c>
      <c r="D277" t="s">
        <v>18</v>
      </c>
      <c r="E277" t="s">
        <v>25</v>
      </c>
      <c r="F277">
        <v>59890</v>
      </c>
      <c r="G277">
        <v>38654</v>
      </c>
      <c r="H277">
        <f t="shared" si="12"/>
        <v>21236</v>
      </c>
      <c r="I277" t="str">
        <f t="shared" si="13"/>
        <v>2023</v>
      </c>
      <c r="J277" t="str">
        <f t="shared" si="14"/>
        <v>04</v>
      </c>
    </row>
    <row r="278" spans="1:10" x14ac:dyDescent="0.3">
      <c r="A278">
        <v>1291</v>
      </c>
      <c r="B278">
        <v>45137</v>
      </c>
      <c r="C278" t="s">
        <v>11</v>
      </c>
      <c r="D278" t="s">
        <v>18</v>
      </c>
      <c r="E278" t="s">
        <v>22</v>
      </c>
      <c r="F278">
        <v>23098</v>
      </c>
      <c r="G278">
        <v>17452</v>
      </c>
      <c r="H278">
        <f t="shared" si="12"/>
        <v>5646</v>
      </c>
      <c r="I278" t="str">
        <f t="shared" si="13"/>
        <v>2023</v>
      </c>
      <c r="J278" t="str">
        <f t="shared" si="14"/>
        <v>07</v>
      </c>
    </row>
    <row r="279" spans="1:10" x14ac:dyDescent="0.3">
      <c r="A279">
        <v>1292</v>
      </c>
      <c r="B279">
        <v>45266</v>
      </c>
      <c r="C279" t="s">
        <v>14</v>
      </c>
      <c r="D279" t="s">
        <v>18</v>
      </c>
      <c r="E279" t="s">
        <v>25</v>
      </c>
      <c r="F279">
        <v>27699</v>
      </c>
      <c r="G279">
        <v>20439</v>
      </c>
      <c r="H279">
        <f t="shared" si="12"/>
        <v>7260</v>
      </c>
      <c r="I279" t="str">
        <f t="shared" si="13"/>
        <v>2023</v>
      </c>
      <c r="J279" t="str">
        <f t="shared" si="14"/>
        <v>12</v>
      </c>
    </row>
    <row r="280" spans="1:10" x14ac:dyDescent="0.3">
      <c r="A280">
        <v>1293</v>
      </c>
      <c r="B280">
        <v>45206</v>
      </c>
      <c r="C280" t="s">
        <v>10</v>
      </c>
      <c r="D280" t="s">
        <v>20</v>
      </c>
      <c r="E280" t="s">
        <v>23</v>
      </c>
      <c r="F280">
        <v>68462</v>
      </c>
      <c r="G280">
        <v>45026</v>
      </c>
      <c r="H280">
        <f t="shared" si="12"/>
        <v>23436</v>
      </c>
      <c r="I280" t="str">
        <f t="shared" si="13"/>
        <v>2023</v>
      </c>
      <c r="J280" t="str">
        <f t="shared" si="14"/>
        <v>10</v>
      </c>
    </row>
    <row r="281" spans="1:10" x14ac:dyDescent="0.3">
      <c r="A281">
        <v>1294</v>
      </c>
      <c r="B281">
        <v>45212</v>
      </c>
      <c r="C281" t="s">
        <v>7</v>
      </c>
      <c r="D281" t="s">
        <v>17</v>
      </c>
      <c r="E281" t="s">
        <v>25</v>
      </c>
      <c r="F281">
        <v>42880</v>
      </c>
      <c r="G281">
        <v>34795</v>
      </c>
      <c r="H281">
        <f t="shared" si="12"/>
        <v>8085</v>
      </c>
      <c r="I281" t="str">
        <f t="shared" si="13"/>
        <v>2023</v>
      </c>
      <c r="J281" t="str">
        <f t="shared" si="14"/>
        <v>10</v>
      </c>
    </row>
    <row r="282" spans="1:10" x14ac:dyDescent="0.3">
      <c r="A282">
        <v>1295</v>
      </c>
      <c r="B282">
        <v>45177</v>
      </c>
      <c r="C282" t="s">
        <v>10</v>
      </c>
      <c r="D282" t="s">
        <v>18</v>
      </c>
      <c r="E282" t="s">
        <v>25</v>
      </c>
      <c r="F282">
        <v>78464</v>
      </c>
      <c r="G282">
        <v>69056</v>
      </c>
      <c r="H282">
        <f t="shared" si="12"/>
        <v>9408</v>
      </c>
      <c r="I282" t="str">
        <f t="shared" si="13"/>
        <v>2023</v>
      </c>
      <c r="J282" t="str">
        <f t="shared" si="14"/>
        <v>09</v>
      </c>
    </row>
    <row r="283" spans="1:10" x14ac:dyDescent="0.3">
      <c r="A283">
        <v>1296</v>
      </c>
      <c r="B283">
        <v>45067</v>
      </c>
      <c r="C283" t="s">
        <v>7</v>
      </c>
      <c r="D283" t="s">
        <v>19</v>
      </c>
      <c r="E283" t="s">
        <v>23</v>
      </c>
      <c r="F283">
        <v>76197</v>
      </c>
      <c r="G283">
        <v>54397</v>
      </c>
      <c r="H283">
        <f t="shared" si="12"/>
        <v>21800</v>
      </c>
      <c r="I283" t="str">
        <f t="shared" si="13"/>
        <v>2023</v>
      </c>
      <c r="J283" t="str">
        <f t="shared" si="14"/>
        <v>05</v>
      </c>
    </row>
    <row r="284" spans="1:10" x14ac:dyDescent="0.3">
      <c r="A284">
        <v>1297</v>
      </c>
      <c r="B284">
        <v>45346</v>
      </c>
      <c r="C284" t="s">
        <v>10</v>
      </c>
      <c r="D284" t="s">
        <v>17</v>
      </c>
      <c r="E284" t="s">
        <v>25</v>
      </c>
      <c r="F284">
        <v>10513</v>
      </c>
      <c r="G284">
        <v>7214</v>
      </c>
      <c r="H284">
        <f t="shared" si="12"/>
        <v>3299</v>
      </c>
      <c r="I284" t="str">
        <f t="shared" si="13"/>
        <v>2024</v>
      </c>
      <c r="J284" t="str">
        <f t="shared" si="14"/>
        <v>02</v>
      </c>
    </row>
    <row r="285" spans="1:10" x14ac:dyDescent="0.3">
      <c r="A285">
        <v>1298</v>
      </c>
      <c r="B285">
        <v>45104</v>
      </c>
      <c r="C285" t="s">
        <v>14</v>
      </c>
      <c r="D285" t="s">
        <v>20</v>
      </c>
      <c r="E285" t="s">
        <v>24</v>
      </c>
      <c r="F285">
        <v>33047</v>
      </c>
      <c r="G285">
        <v>21831</v>
      </c>
      <c r="H285">
        <f t="shared" si="12"/>
        <v>11216</v>
      </c>
      <c r="I285" t="str">
        <f t="shared" si="13"/>
        <v>2023</v>
      </c>
      <c r="J285" t="str">
        <f t="shared" si="14"/>
        <v>06</v>
      </c>
    </row>
    <row r="286" spans="1:10" x14ac:dyDescent="0.3">
      <c r="A286">
        <v>1299</v>
      </c>
      <c r="B286">
        <v>45214</v>
      </c>
      <c r="C286" t="s">
        <v>7</v>
      </c>
      <c r="D286" t="s">
        <v>17</v>
      </c>
      <c r="E286" t="s">
        <v>22</v>
      </c>
      <c r="F286">
        <v>36363</v>
      </c>
      <c r="G286">
        <v>24462</v>
      </c>
      <c r="H286">
        <f t="shared" si="12"/>
        <v>11901</v>
      </c>
      <c r="I286" t="str">
        <f t="shared" si="13"/>
        <v>2023</v>
      </c>
      <c r="J286" t="str">
        <f t="shared" si="14"/>
        <v>10</v>
      </c>
    </row>
    <row r="287" spans="1:10" x14ac:dyDescent="0.3">
      <c r="A287">
        <v>1300</v>
      </c>
      <c r="B287">
        <v>45198</v>
      </c>
      <c r="C287" t="s">
        <v>12</v>
      </c>
      <c r="D287" t="s">
        <v>17</v>
      </c>
      <c r="E287" t="s">
        <v>22</v>
      </c>
      <c r="F287">
        <v>18133</v>
      </c>
      <c r="G287">
        <v>13128</v>
      </c>
      <c r="H287">
        <f t="shared" si="12"/>
        <v>5005</v>
      </c>
      <c r="I287" t="str">
        <f t="shared" si="13"/>
        <v>2023</v>
      </c>
      <c r="J287" t="str">
        <f t="shared" si="14"/>
        <v>09</v>
      </c>
    </row>
    <row r="288" spans="1:10" x14ac:dyDescent="0.3">
      <c r="A288">
        <v>1301</v>
      </c>
      <c r="B288">
        <v>44978</v>
      </c>
      <c r="C288" t="s">
        <v>15</v>
      </c>
      <c r="D288" t="s">
        <v>19</v>
      </c>
      <c r="E288" t="s">
        <v>23</v>
      </c>
      <c r="F288">
        <v>25701</v>
      </c>
      <c r="G288">
        <v>18557</v>
      </c>
      <c r="H288">
        <f t="shared" si="12"/>
        <v>7144</v>
      </c>
      <c r="I288" t="str">
        <f t="shared" si="13"/>
        <v>2023</v>
      </c>
      <c r="J288" t="str">
        <f t="shared" si="14"/>
        <v>02</v>
      </c>
    </row>
    <row r="289" spans="1:10" x14ac:dyDescent="0.3">
      <c r="A289">
        <v>1302</v>
      </c>
      <c r="B289">
        <v>45376</v>
      </c>
      <c r="C289" t="s">
        <v>14</v>
      </c>
      <c r="D289" t="s">
        <v>18</v>
      </c>
      <c r="E289" t="s">
        <v>21</v>
      </c>
      <c r="F289">
        <v>42649</v>
      </c>
      <c r="G289">
        <v>29698</v>
      </c>
      <c r="H289">
        <f t="shared" si="12"/>
        <v>12951</v>
      </c>
      <c r="I289" t="str">
        <f t="shared" si="13"/>
        <v>2024</v>
      </c>
      <c r="J289" t="str">
        <f t="shared" si="14"/>
        <v>03</v>
      </c>
    </row>
    <row r="290" spans="1:10" x14ac:dyDescent="0.3">
      <c r="A290">
        <v>1303</v>
      </c>
      <c r="B290">
        <v>45320</v>
      </c>
      <c r="C290" t="s">
        <v>8</v>
      </c>
      <c r="D290" t="s">
        <v>17</v>
      </c>
      <c r="E290" t="s">
        <v>23</v>
      </c>
      <c r="F290">
        <v>9888</v>
      </c>
      <c r="G290">
        <v>8641</v>
      </c>
      <c r="H290">
        <f t="shared" si="12"/>
        <v>1247</v>
      </c>
      <c r="I290" t="str">
        <f t="shared" si="13"/>
        <v>2024</v>
      </c>
      <c r="J290" t="str">
        <f t="shared" si="14"/>
        <v>01</v>
      </c>
    </row>
    <row r="291" spans="1:10" x14ac:dyDescent="0.3">
      <c r="A291">
        <v>1304</v>
      </c>
      <c r="B291">
        <v>45355</v>
      </c>
      <c r="C291" t="s">
        <v>15</v>
      </c>
      <c r="D291" t="s">
        <v>19</v>
      </c>
      <c r="E291" t="s">
        <v>24</v>
      </c>
      <c r="F291">
        <v>69930</v>
      </c>
      <c r="G291">
        <v>45866</v>
      </c>
      <c r="H291">
        <f t="shared" si="12"/>
        <v>24064</v>
      </c>
      <c r="I291" t="str">
        <f t="shared" si="13"/>
        <v>2024</v>
      </c>
      <c r="J291" t="str">
        <f t="shared" si="14"/>
        <v>03</v>
      </c>
    </row>
    <row r="292" spans="1:10" x14ac:dyDescent="0.3">
      <c r="A292">
        <v>1305</v>
      </c>
      <c r="B292">
        <v>45373</v>
      </c>
      <c r="C292" t="s">
        <v>7</v>
      </c>
      <c r="D292" t="s">
        <v>19</v>
      </c>
      <c r="E292" t="s">
        <v>22</v>
      </c>
      <c r="F292">
        <v>44110</v>
      </c>
      <c r="G292">
        <v>33981</v>
      </c>
      <c r="H292">
        <f t="shared" si="12"/>
        <v>10129</v>
      </c>
      <c r="I292" t="str">
        <f t="shared" si="13"/>
        <v>2024</v>
      </c>
      <c r="J292" t="str">
        <f t="shared" si="14"/>
        <v>03</v>
      </c>
    </row>
    <row r="293" spans="1:10" x14ac:dyDescent="0.3">
      <c r="A293">
        <v>1306</v>
      </c>
      <c r="B293">
        <v>45098</v>
      </c>
      <c r="C293" t="s">
        <v>7</v>
      </c>
      <c r="D293" t="s">
        <v>18</v>
      </c>
      <c r="E293" t="s">
        <v>23</v>
      </c>
      <c r="F293">
        <v>73723</v>
      </c>
      <c r="G293">
        <v>55157</v>
      </c>
      <c r="H293">
        <f t="shared" si="12"/>
        <v>18566</v>
      </c>
      <c r="I293" t="str">
        <f t="shared" si="13"/>
        <v>2023</v>
      </c>
      <c r="J293" t="str">
        <f t="shared" si="14"/>
        <v>06</v>
      </c>
    </row>
    <row r="294" spans="1:10" x14ac:dyDescent="0.3">
      <c r="A294">
        <v>1307</v>
      </c>
      <c r="B294">
        <v>45362</v>
      </c>
      <c r="C294" t="s">
        <v>11</v>
      </c>
      <c r="D294" t="s">
        <v>18</v>
      </c>
      <c r="E294" t="s">
        <v>25</v>
      </c>
      <c r="F294">
        <v>30272</v>
      </c>
      <c r="G294">
        <v>25508</v>
      </c>
      <c r="H294">
        <f t="shared" si="12"/>
        <v>4764</v>
      </c>
      <c r="I294" t="str">
        <f t="shared" si="13"/>
        <v>2024</v>
      </c>
      <c r="J294" t="str">
        <f t="shared" si="14"/>
        <v>03</v>
      </c>
    </row>
    <row r="295" spans="1:10" x14ac:dyDescent="0.3">
      <c r="A295">
        <v>1308</v>
      </c>
      <c r="B295">
        <v>45301</v>
      </c>
      <c r="C295" t="s">
        <v>14</v>
      </c>
      <c r="D295" t="s">
        <v>20</v>
      </c>
      <c r="E295" t="s">
        <v>21</v>
      </c>
      <c r="F295">
        <v>6846</v>
      </c>
      <c r="G295">
        <v>5620</v>
      </c>
      <c r="H295">
        <f t="shared" si="12"/>
        <v>1226</v>
      </c>
      <c r="I295" t="str">
        <f t="shared" si="13"/>
        <v>2024</v>
      </c>
      <c r="J295" t="str">
        <f t="shared" si="14"/>
        <v>01</v>
      </c>
    </row>
    <row r="296" spans="1:10" x14ac:dyDescent="0.3">
      <c r="A296">
        <v>1309</v>
      </c>
      <c r="B296">
        <v>45217</v>
      </c>
      <c r="C296" t="s">
        <v>12</v>
      </c>
      <c r="D296" t="s">
        <v>17</v>
      </c>
      <c r="E296" t="s">
        <v>23</v>
      </c>
      <c r="F296">
        <v>58148</v>
      </c>
      <c r="G296">
        <v>49315</v>
      </c>
      <c r="H296">
        <f t="shared" si="12"/>
        <v>8833</v>
      </c>
      <c r="I296" t="str">
        <f t="shared" si="13"/>
        <v>2023</v>
      </c>
      <c r="J296" t="str">
        <f t="shared" si="14"/>
        <v>10</v>
      </c>
    </row>
    <row r="297" spans="1:10" x14ac:dyDescent="0.3">
      <c r="A297">
        <v>1310</v>
      </c>
      <c r="B297">
        <v>44971</v>
      </c>
      <c r="C297" t="s">
        <v>16</v>
      </c>
      <c r="D297" t="s">
        <v>19</v>
      </c>
      <c r="E297" t="s">
        <v>21</v>
      </c>
      <c r="F297">
        <v>23430</v>
      </c>
      <c r="G297">
        <v>17414</v>
      </c>
      <c r="H297">
        <f t="shared" si="12"/>
        <v>6016</v>
      </c>
      <c r="I297" t="str">
        <f t="shared" si="13"/>
        <v>2023</v>
      </c>
      <c r="J297" t="str">
        <f t="shared" si="14"/>
        <v>02</v>
      </c>
    </row>
    <row r="298" spans="1:10" x14ac:dyDescent="0.3">
      <c r="A298">
        <v>1311</v>
      </c>
      <c r="B298">
        <v>44930</v>
      </c>
      <c r="C298" t="s">
        <v>7</v>
      </c>
      <c r="D298" t="s">
        <v>18</v>
      </c>
      <c r="E298" t="s">
        <v>21</v>
      </c>
      <c r="F298">
        <v>63554</v>
      </c>
      <c r="G298">
        <v>52503</v>
      </c>
      <c r="H298">
        <f t="shared" si="12"/>
        <v>11051</v>
      </c>
      <c r="I298" t="str">
        <f t="shared" si="13"/>
        <v>2023</v>
      </c>
      <c r="J298" t="str">
        <f t="shared" si="14"/>
        <v>01</v>
      </c>
    </row>
    <row r="299" spans="1:10" x14ac:dyDescent="0.3">
      <c r="A299">
        <v>1312</v>
      </c>
      <c r="B299">
        <v>45081</v>
      </c>
      <c r="C299" t="s">
        <v>13</v>
      </c>
      <c r="D299" t="s">
        <v>19</v>
      </c>
      <c r="E299" t="s">
        <v>25</v>
      </c>
      <c r="F299">
        <v>52127</v>
      </c>
      <c r="G299">
        <v>42109</v>
      </c>
      <c r="H299">
        <f t="shared" si="12"/>
        <v>10018</v>
      </c>
      <c r="I299" t="str">
        <f t="shared" si="13"/>
        <v>2023</v>
      </c>
      <c r="J299" t="str">
        <f t="shared" si="14"/>
        <v>06</v>
      </c>
    </row>
    <row r="300" spans="1:10" x14ac:dyDescent="0.3">
      <c r="A300">
        <v>1313</v>
      </c>
      <c r="B300">
        <v>44987</v>
      </c>
      <c r="C300" t="s">
        <v>14</v>
      </c>
      <c r="D300" t="s">
        <v>20</v>
      </c>
      <c r="E300" t="s">
        <v>21</v>
      </c>
      <c r="F300">
        <v>58138</v>
      </c>
      <c r="G300">
        <v>46848</v>
      </c>
      <c r="H300">
        <f t="shared" si="12"/>
        <v>11290</v>
      </c>
      <c r="I300" t="str">
        <f t="shared" si="13"/>
        <v>2023</v>
      </c>
      <c r="J300" t="str">
        <f t="shared" si="14"/>
        <v>03</v>
      </c>
    </row>
    <row r="301" spans="1:10" x14ac:dyDescent="0.3">
      <c r="A301">
        <v>1314</v>
      </c>
      <c r="B301">
        <v>45287</v>
      </c>
      <c r="C301" t="s">
        <v>7</v>
      </c>
      <c r="D301" t="s">
        <v>19</v>
      </c>
      <c r="E301" t="s">
        <v>25</v>
      </c>
      <c r="F301">
        <v>53174</v>
      </c>
      <c r="G301">
        <v>41709</v>
      </c>
      <c r="H301">
        <f t="shared" si="12"/>
        <v>11465</v>
      </c>
      <c r="I301" t="str">
        <f t="shared" si="13"/>
        <v>2023</v>
      </c>
      <c r="J301" t="str">
        <f t="shared" si="14"/>
        <v>12</v>
      </c>
    </row>
    <row r="302" spans="1:10" x14ac:dyDescent="0.3">
      <c r="A302">
        <v>1315</v>
      </c>
      <c r="B302">
        <v>44995</v>
      </c>
      <c r="C302" t="s">
        <v>14</v>
      </c>
      <c r="D302" t="s">
        <v>17</v>
      </c>
      <c r="E302" t="s">
        <v>24</v>
      </c>
      <c r="F302">
        <v>53971</v>
      </c>
      <c r="G302">
        <v>39115</v>
      </c>
      <c r="H302">
        <f t="shared" si="12"/>
        <v>14856</v>
      </c>
      <c r="I302" t="str">
        <f t="shared" si="13"/>
        <v>2023</v>
      </c>
      <c r="J302" t="str">
        <f t="shared" si="14"/>
        <v>03</v>
      </c>
    </row>
    <row r="303" spans="1:10" x14ac:dyDescent="0.3">
      <c r="A303">
        <v>1316</v>
      </c>
      <c r="B303">
        <v>45168</v>
      </c>
      <c r="C303" t="s">
        <v>11</v>
      </c>
      <c r="D303" t="s">
        <v>17</v>
      </c>
      <c r="E303" t="s">
        <v>21</v>
      </c>
      <c r="F303">
        <v>15730</v>
      </c>
      <c r="G303">
        <v>11917</v>
      </c>
      <c r="H303">
        <f t="shared" si="12"/>
        <v>3813</v>
      </c>
      <c r="I303" t="str">
        <f t="shared" si="13"/>
        <v>2023</v>
      </c>
      <c r="J303" t="str">
        <f t="shared" si="14"/>
        <v>08</v>
      </c>
    </row>
    <row r="304" spans="1:10" x14ac:dyDescent="0.3">
      <c r="A304">
        <v>1317</v>
      </c>
      <c r="B304">
        <v>45112</v>
      </c>
      <c r="C304" t="s">
        <v>8</v>
      </c>
      <c r="D304" t="s">
        <v>19</v>
      </c>
      <c r="E304" t="s">
        <v>22</v>
      </c>
      <c r="F304">
        <v>76781</v>
      </c>
      <c r="G304">
        <v>66865</v>
      </c>
      <c r="H304">
        <f t="shared" si="12"/>
        <v>9916</v>
      </c>
      <c r="I304" t="str">
        <f t="shared" si="13"/>
        <v>2023</v>
      </c>
      <c r="J304" t="str">
        <f t="shared" si="14"/>
        <v>07</v>
      </c>
    </row>
    <row r="305" spans="1:10" x14ac:dyDescent="0.3">
      <c r="A305">
        <v>1318</v>
      </c>
      <c r="B305">
        <v>45201</v>
      </c>
      <c r="C305" t="s">
        <v>15</v>
      </c>
      <c r="D305" t="s">
        <v>17</v>
      </c>
      <c r="E305" t="s">
        <v>25</v>
      </c>
      <c r="F305">
        <v>73202</v>
      </c>
      <c r="G305">
        <v>53624</v>
      </c>
      <c r="H305">
        <f t="shared" si="12"/>
        <v>19578</v>
      </c>
      <c r="I305" t="str">
        <f t="shared" si="13"/>
        <v>2023</v>
      </c>
      <c r="J305" t="str">
        <f t="shared" si="14"/>
        <v>10</v>
      </c>
    </row>
    <row r="306" spans="1:10" x14ac:dyDescent="0.3">
      <c r="A306">
        <v>1319</v>
      </c>
      <c r="B306">
        <v>45294</v>
      </c>
      <c r="C306" t="s">
        <v>13</v>
      </c>
      <c r="D306" t="s">
        <v>18</v>
      </c>
      <c r="E306" t="s">
        <v>22</v>
      </c>
      <c r="F306">
        <v>71895</v>
      </c>
      <c r="G306">
        <v>52745</v>
      </c>
      <c r="H306">
        <f t="shared" si="12"/>
        <v>19150</v>
      </c>
      <c r="I306" t="str">
        <f t="shared" si="13"/>
        <v>2024</v>
      </c>
      <c r="J306" t="str">
        <f t="shared" si="14"/>
        <v>01</v>
      </c>
    </row>
    <row r="307" spans="1:10" x14ac:dyDescent="0.3">
      <c r="A307">
        <v>1320</v>
      </c>
      <c r="B307">
        <v>44994</v>
      </c>
      <c r="C307" t="s">
        <v>11</v>
      </c>
      <c r="D307" t="s">
        <v>18</v>
      </c>
      <c r="E307" t="s">
        <v>24</v>
      </c>
      <c r="F307">
        <v>78912</v>
      </c>
      <c r="G307">
        <v>48714</v>
      </c>
      <c r="H307">
        <f t="shared" si="12"/>
        <v>30198</v>
      </c>
      <c r="I307" t="str">
        <f t="shared" si="13"/>
        <v>2023</v>
      </c>
      <c r="J307" t="str">
        <f t="shared" si="14"/>
        <v>03</v>
      </c>
    </row>
    <row r="308" spans="1:10" x14ac:dyDescent="0.3">
      <c r="A308">
        <v>1321</v>
      </c>
      <c r="B308">
        <v>45340</v>
      </c>
      <c r="C308" t="s">
        <v>7</v>
      </c>
      <c r="D308" t="s">
        <v>19</v>
      </c>
      <c r="E308" t="s">
        <v>24</v>
      </c>
      <c r="F308">
        <v>38352</v>
      </c>
      <c r="G308">
        <v>32404</v>
      </c>
      <c r="H308">
        <f t="shared" si="12"/>
        <v>5948</v>
      </c>
      <c r="I308" t="str">
        <f t="shared" si="13"/>
        <v>2024</v>
      </c>
      <c r="J308" t="str">
        <f t="shared" si="14"/>
        <v>02</v>
      </c>
    </row>
    <row r="309" spans="1:10" x14ac:dyDescent="0.3">
      <c r="A309">
        <v>1322</v>
      </c>
      <c r="B309">
        <v>45223</v>
      </c>
      <c r="C309" t="s">
        <v>8</v>
      </c>
      <c r="D309" t="s">
        <v>19</v>
      </c>
      <c r="E309" t="s">
        <v>24</v>
      </c>
      <c r="F309">
        <v>50158</v>
      </c>
      <c r="G309">
        <v>40633</v>
      </c>
      <c r="H309">
        <f t="shared" si="12"/>
        <v>9525</v>
      </c>
      <c r="I309" t="str">
        <f t="shared" si="13"/>
        <v>2023</v>
      </c>
      <c r="J309" t="str">
        <f t="shared" si="14"/>
        <v>10</v>
      </c>
    </row>
    <row r="310" spans="1:10" x14ac:dyDescent="0.3">
      <c r="A310">
        <v>1323</v>
      </c>
      <c r="B310">
        <v>44957</v>
      </c>
      <c r="C310" t="s">
        <v>8</v>
      </c>
      <c r="D310" t="s">
        <v>18</v>
      </c>
      <c r="E310" t="s">
        <v>22</v>
      </c>
      <c r="F310">
        <v>42629</v>
      </c>
      <c r="G310">
        <v>30806</v>
      </c>
      <c r="H310">
        <f t="shared" si="12"/>
        <v>11823</v>
      </c>
      <c r="I310" t="str">
        <f t="shared" si="13"/>
        <v>2023</v>
      </c>
      <c r="J310" t="str">
        <f t="shared" si="14"/>
        <v>01</v>
      </c>
    </row>
    <row r="311" spans="1:10" x14ac:dyDescent="0.3">
      <c r="A311">
        <v>1324</v>
      </c>
      <c r="B311">
        <v>45319</v>
      </c>
      <c r="C311" t="s">
        <v>16</v>
      </c>
      <c r="D311" t="s">
        <v>20</v>
      </c>
      <c r="E311" t="s">
        <v>24</v>
      </c>
      <c r="F311">
        <v>63790</v>
      </c>
      <c r="G311">
        <v>54915</v>
      </c>
      <c r="H311">
        <f t="shared" si="12"/>
        <v>8875</v>
      </c>
      <c r="I311" t="str">
        <f t="shared" si="13"/>
        <v>2024</v>
      </c>
      <c r="J311" t="str">
        <f t="shared" si="14"/>
        <v>01</v>
      </c>
    </row>
    <row r="312" spans="1:10" x14ac:dyDescent="0.3">
      <c r="A312">
        <v>1325</v>
      </c>
      <c r="B312">
        <v>45119</v>
      </c>
      <c r="C312" t="s">
        <v>8</v>
      </c>
      <c r="D312" t="s">
        <v>17</v>
      </c>
      <c r="E312" t="s">
        <v>25</v>
      </c>
      <c r="F312">
        <v>20549</v>
      </c>
      <c r="G312">
        <v>13429</v>
      </c>
      <c r="H312">
        <f t="shared" si="12"/>
        <v>7120</v>
      </c>
      <c r="I312" t="str">
        <f t="shared" si="13"/>
        <v>2023</v>
      </c>
      <c r="J312" t="str">
        <f t="shared" si="14"/>
        <v>07</v>
      </c>
    </row>
    <row r="313" spans="1:10" x14ac:dyDescent="0.3">
      <c r="A313">
        <v>1326</v>
      </c>
      <c r="B313">
        <v>45197</v>
      </c>
      <c r="C313" t="s">
        <v>15</v>
      </c>
      <c r="D313" t="s">
        <v>17</v>
      </c>
      <c r="E313" t="s">
        <v>22</v>
      </c>
      <c r="F313">
        <v>7979</v>
      </c>
      <c r="G313">
        <v>7129</v>
      </c>
      <c r="H313">
        <f t="shared" si="12"/>
        <v>850</v>
      </c>
      <c r="I313" t="str">
        <f t="shared" si="13"/>
        <v>2023</v>
      </c>
      <c r="J313" t="str">
        <f t="shared" si="14"/>
        <v>09</v>
      </c>
    </row>
    <row r="314" spans="1:10" x14ac:dyDescent="0.3">
      <c r="A314">
        <v>1327</v>
      </c>
      <c r="B314">
        <v>45295</v>
      </c>
      <c r="C314" t="s">
        <v>11</v>
      </c>
      <c r="D314" t="s">
        <v>18</v>
      </c>
      <c r="E314" t="s">
        <v>23</v>
      </c>
      <c r="F314">
        <v>54712</v>
      </c>
      <c r="G314">
        <v>46341</v>
      </c>
      <c r="H314">
        <f t="shared" si="12"/>
        <v>8371</v>
      </c>
      <c r="I314" t="str">
        <f t="shared" si="13"/>
        <v>2024</v>
      </c>
      <c r="J314" t="str">
        <f t="shared" si="14"/>
        <v>01</v>
      </c>
    </row>
    <row r="315" spans="1:10" x14ac:dyDescent="0.3">
      <c r="A315">
        <v>1328</v>
      </c>
      <c r="B315">
        <v>45104</v>
      </c>
      <c r="C315" t="s">
        <v>15</v>
      </c>
      <c r="D315" t="s">
        <v>20</v>
      </c>
      <c r="E315" t="s">
        <v>21</v>
      </c>
      <c r="F315">
        <v>19790</v>
      </c>
      <c r="G315">
        <v>12065</v>
      </c>
      <c r="H315">
        <f t="shared" si="12"/>
        <v>7725</v>
      </c>
      <c r="I315" t="str">
        <f t="shared" si="13"/>
        <v>2023</v>
      </c>
      <c r="J315" t="str">
        <f t="shared" si="14"/>
        <v>06</v>
      </c>
    </row>
    <row r="316" spans="1:10" x14ac:dyDescent="0.3">
      <c r="A316">
        <v>1329</v>
      </c>
      <c r="B316">
        <v>45241</v>
      </c>
      <c r="C316" t="s">
        <v>9</v>
      </c>
      <c r="D316" t="s">
        <v>17</v>
      </c>
      <c r="E316" t="s">
        <v>21</v>
      </c>
      <c r="F316">
        <v>13819</v>
      </c>
      <c r="G316">
        <v>8709</v>
      </c>
      <c r="H316">
        <f t="shared" si="12"/>
        <v>5110</v>
      </c>
      <c r="I316" t="str">
        <f t="shared" si="13"/>
        <v>2023</v>
      </c>
      <c r="J316" t="str">
        <f t="shared" si="14"/>
        <v>11</v>
      </c>
    </row>
    <row r="317" spans="1:10" x14ac:dyDescent="0.3">
      <c r="A317">
        <v>1331</v>
      </c>
      <c r="B317">
        <v>45038</v>
      </c>
      <c r="C317" t="s">
        <v>9</v>
      </c>
      <c r="D317" t="s">
        <v>17</v>
      </c>
      <c r="E317" t="s">
        <v>23</v>
      </c>
      <c r="F317">
        <v>42914</v>
      </c>
      <c r="G317">
        <v>28763</v>
      </c>
      <c r="H317">
        <f t="shared" si="12"/>
        <v>14151</v>
      </c>
      <c r="I317" t="str">
        <f t="shared" si="13"/>
        <v>2023</v>
      </c>
      <c r="J317" t="str">
        <f t="shared" si="14"/>
        <v>04</v>
      </c>
    </row>
    <row r="318" spans="1:10" x14ac:dyDescent="0.3">
      <c r="A318">
        <v>1332</v>
      </c>
      <c r="B318">
        <v>45221</v>
      </c>
      <c r="C318" t="s">
        <v>10</v>
      </c>
      <c r="D318" t="s">
        <v>20</v>
      </c>
      <c r="E318" t="s">
        <v>21</v>
      </c>
      <c r="F318">
        <v>44552</v>
      </c>
      <c r="G318">
        <v>38442</v>
      </c>
      <c r="H318">
        <f t="shared" si="12"/>
        <v>6110</v>
      </c>
      <c r="I318" t="str">
        <f t="shared" si="13"/>
        <v>2023</v>
      </c>
      <c r="J318" t="str">
        <f t="shared" si="14"/>
        <v>10</v>
      </c>
    </row>
    <row r="319" spans="1:10" x14ac:dyDescent="0.3">
      <c r="A319">
        <v>1333</v>
      </c>
      <c r="B319">
        <v>45193</v>
      </c>
      <c r="C319" t="s">
        <v>12</v>
      </c>
      <c r="D319" t="s">
        <v>18</v>
      </c>
      <c r="E319" t="s">
        <v>25</v>
      </c>
      <c r="F319">
        <v>41064</v>
      </c>
      <c r="G319">
        <v>25389</v>
      </c>
      <c r="H319">
        <f t="shared" si="12"/>
        <v>15675</v>
      </c>
      <c r="I319" t="str">
        <f t="shared" si="13"/>
        <v>2023</v>
      </c>
      <c r="J319" t="str">
        <f t="shared" si="14"/>
        <v>09</v>
      </c>
    </row>
    <row r="320" spans="1:10" x14ac:dyDescent="0.3">
      <c r="A320">
        <v>1334</v>
      </c>
      <c r="B320">
        <v>45377</v>
      </c>
      <c r="C320" t="s">
        <v>15</v>
      </c>
      <c r="D320" t="s">
        <v>18</v>
      </c>
      <c r="E320" t="s">
        <v>23</v>
      </c>
      <c r="F320">
        <v>69962</v>
      </c>
      <c r="G320">
        <v>42961</v>
      </c>
      <c r="H320">
        <f t="shared" si="12"/>
        <v>27001</v>
      </c>
      <c r="I320" t="str">
        <f t="shared" si="13"/>
        <v>2024</v>
      </c>
      <c r="J320" t="str">
        <f t="shared" si="14"/>
        <v>03</v>
      </c>
    </row>
    <row r="321" spans="1:10" x14ac:dyDescent="0.3">
      <c r="A321">
        <v>1335</v>
      </c>
      <c r="B321">
        <v>45256</v>
      </c>
      <c r="C321" t="s">
        <v>16</v>
      </c>
      <c r="D321" t="s">
        <v>20</v>
      </c>
      <c r="E321" t="s">
        <v>24</v>
      </c>
      <c r="F321">
        <v>58511</v>
      </c>
      <c r="G321">
        <v>37725</v>
      </c>
      <c r="H321">
        <f t="shared" si="12"/>
        <v>20786</v>
      </c>
      <c r="I321" t="str">
        <f t="shared" si="13"/>
        <v>2023</v>
      </c>
      <c r="J321" t="str">
        <f t="shared" si="14"/>
        <v>11</v>
      </c>
    </row>
    <row r="322" spans="1:10" x14ac:dyDescent="0.3">
      <c r="A322">
        <v>1336</v>
      </c>
      <c r="B322">
        <v>45313</v>
      </c>
      <c r="C322" t="s">
        <v>11</v>
      </c>
      <c r="D322" t="s">
        <v>18</v>
      </c>
      <c r="E322" t="s">
        <v>21</v>
      </c>
      <c r="F322">
        <v>34536</v>
      </c>
      <c r="G322">
        <v>23837</v>
      </c>
      <c r="H322">
        <f t="shared" ref="H322:H385" si="15">F322-G322</f>
        <v>10699</v>
      </c>
      <c r="I322" t="str">
        <f t="shared" ref="I322:I385" si="16">TEXT(B322,"yyyy")</f>
        <v>2024</v>
      </c>
      <c r="J322" t="str">
        <f t="shared" ref="J322:J385" si="17">TEXT(B322,"mm")</f>
        <v>01</v>
      </c>
    </row>
    <row r="323" spans="1:10" x14ac:dyDescent="0.3">
      <c r="A323">
        <v>1337</v>
      </c>
      <c r="B323">
        <v>45339</v>
      </c>
      <c r="C323" t="s">
        <v>14</v>
      </c>
      <c r="D323" t="s">
        <v>19</v>
      </c>
      <c r="E323" t="s">
        <v>23</v>
      </c>
      <c r="F323">
        <v>59090</v>
      </c>
      <c r="G323">
        <v>52609</v>
      </c>
      <c r="H323">
        <f t="shared" si="15"/>
        <v>6481</v>
      </c>
      <c r="I323" t="str">
        <f t="shared" si="16"/>
        <v>2024</v>
      </c>
      <c r="J323" t="str">
        <f t="shared" si="17"/>
        <v>02</v>
      </c>
    </row>
    <row r="324" spans="1:10" x14ac:dyDescent="0.3">
      <c r="A324">
        <v>1338</v>
      </c>
      <c r="B324">
        <v>44995</v>
      </c>
      <c r="C324" t="s">
        <v>16</v>
      </c>
      <c r="D324" t="s">
        <v>17</v>
      </c>
      <c r="E324" t="s">
        <v>25</v>
      </c>
      <c r="F324">
        <v>31651</v>
      </c>
      <c r="G324">
        <v>22126</v>
      </c>
      <c r="H324">
        <f t="shared" si="15"/>
        <v>9525</v>
      </c>
      <c r="I324" t="str">
        <f t="shared" si="16"/>
        <v>2023</v>
      </c>
      <c r="J324" t="str">
        <f t="shared" si="17"/>
        <v>03</v>
      </c>
    </row>
    <row r="325" spans="1:10" x14ac:dyDescent="0.3">
      <c r="A325">
        <v>1339</v>
      </c>
      <c r="B325">
        <v>45157</v>
      </c>
      <c r="C325" t="s">
        <v>10</v>
      </c>
      <c r="D325" t="s">
        <v>19</v>
      </c>
      <c r="E325" t="s">
        <v>23</v>
      </c>
      <c r="F325">
        <v>29966</v>
      </c>
      <c r="G325">
        <v>18442</v>
      </c>
      <c r="H325">
        <f t="shared" si="15"/>
        <v>11524</v>
      </c>
      <c r="I325" t="str">
        <f t="shared" si="16"/>
        <v>2023</v>
      </c>
      <c r="J325" t="str">
        <f t="shared" si="17"/>
        <v>08</v>
      </c>
    </row>
    <row r="326" spans="1:10" x14ac:dyDescent="0.3">
      <c r="A326">
        <v>1340</v>
      </c>
      <c r="B326">
        <v>45236</v>
      </c>
      <c r="C326" t="s">
        <v>13</v>
      </c>
      <c r="D326" t="s">
        <v>19</v>
      </c>
      <c r="E326" t="s">
        <v>22</v>
      </c>
      <c r="F326">
        <v>29662</v>
      </c>
      <c r="G326">
        <v>24957</v>
      </c>
      <c r="H326">
        <f t="shared" si="15"/>
        <v>4705</v>
      </c>
      <c r="I326" t="str">
        <f t="shared" si="16"/>
        <v>2023</v>
      </c>
      <c r="J326" t="str">
        <f t="shared" si="17"/>
        <v>11</v>
      </c>
    </row>
    <row r="327" spans="1:10" x14ac:dyDescent="0.3">
      <c r="A327">
        <v>1341</v>
      </c>
      <c r="B327">
        <v>45270</v>
      </c>
      <c r="C327" t="s">
        <v>11</v>
      </c>
      <c r="D327" t="s">
        <v>17</v>
      </c>
      <c r="E327" t="s">
        <v>24</v>
      </c>
      <c r="F327">
        <v>32379</v>
      </c>
      <c r="G327">
        <v>27873</v>
      </c>
      <c r="H327">
        <f t="shared" si="15"/>
        <v>4506</v>
      </c>
      <c r="I327" t="str">
        <f t="shared" si="16"/>
        <v>2023</v>
      </c>
      <c r="J327" t="str">
        <f t="shared" si="17"/>
        <v>12</v>
      </c>
    </row>
    <row r="328" spans="1:10" x14ac:dyDescent="0.3">
      <c r="A328">
        <v>1342</v>
      </c>
      <c r="B328">
        <v>44934</v>
      </c>
      <c r="C328" t="s">
        <v>12</v>
      </c>
      <c r="D328" t="s">
        <v>17</v>
      </c>
      <c r="E328" t="s">
        <v>22</v>
      </c>
      <c r="F328">
        <v>67773</v>
      </c>
      <c r="G328">
        <v>59256</v>
      </c>
      <c r="H328">
        <f t="shared" si="15"/>
        <v>8517</v>
      </c>
      <c r="I328" t="str">
        <f t="shared" si="16"/>
        <v>2023</v>
      </c>
      <c r="J328" t="str">
        <f t="shared" si="17"/>
        <v>01</v>
      </c>
    </row>
    <row r="329" spans="1:10" x14ac:dyDescent="0.3">
      <c r="A329">
        <v>1343</v>
      </c>
      <c r="B329">
        <v>45287</v>
      </c>
      <c r="C329" t="s">
        <v>12</v>
      </c>
      <c r="D329" t="s">
        <v>18</v>
      </c>
      <c r="E329" t="s">
        <v>21</v>
      </c>
      <c r="F329">
        <v>77362</v>
      </c>
      <c r="G329">
        <v>53881</v>
      </c>
      <c r="H329">
        <f t="shared" si="15"/>
        <v>23481</v>
      </c>
      <c r="I329" t="str">
        <f t="shared" si="16"/>
        <v>2023</v>
      </c>
      <c r="J329" t="str">
        <f t="shared" si="17"/>
        <v>12</v>
      </c>
    </row>
    <row r="330" spans="1:10" x14ac:dyDescent="0.3">
      <c r="A330">
        <v>1344</v>
      </c>
      <c r="B330">
        <v>45165</v>
      </c>
      <c r="C330" t="s">
        <v>11</v>
      </c>
      <c r="D330" t="s">
        <v>20</v>
      </c>
      <c r="E330" t="s">
        <v>25</v>
      </c>
      <c r="F330">
        <v>39283</v>
      </c>
      <c r="G330">
        <v>27808</v>
      </c>
      <c r="H330">
        <f t="shared" si="15"/>
        <v>11475</v>
      </c>
      <c r="I330" t="str">
        <f t="shared" si="16"/>
        <v>2023</v>
      </c>
      <c r="J330" t="str">
        <f t="shared" si="17"/>
        <v>08</v>
      </c>
    </row>
    <row r="331" spans="1:10" x14ac:dyDescent="0.3">
      <c r="A331">
        <v>1345</v>
      </c>
      <c r="B331">
        <v>45165</v>
      </c>
      <c r="C331" t="s">
        <v>8</v>
      </c>
      <c r="D331" t="s">
        <v>18</v>
      </c>
      <c r="E331" t="s">
        <v>25</v>
      </c>
      <c r="F331">
        <v>31624</v>
      </c>
      <c r="G331">
        <v>22491</v>
      </c>
      <c r="H331">
        <f t="shared" si="15"/>
        <v>9133</v>
      </c>
      <c r="I331" t="str">
        <f t="shared" si="16"/>
        <v>2023</v>
      </c>
      <c r="J331" t="str">
        <f t="shared" si="17"/>
        <v>08</v>
      </c>
    </row>
    <row r="332" spans="1:10" x14ac:dyDescent="0.3">
      <c r="A332">
        <v>1346</v>
      </c>
      <c r="B332">
        <v>45215</v>
      </c>
      <c r="C332" t="s">
        <v>12</v>
      </c>
      <c r="D332" t="s">
        <v>17</v>
      </c>
      <c r="E332" t="s">
        <v>22</v>
      </c>
      <c r="F332">
        <v>39180</v>
      </c>
      <c r="G332">
        <v>30011</v>
      </c>
      <c r="H332">
        <f t="shared" si="15"/>
        <v>9169</v>
      </c>
      <c r="I332" t="str">
        <f t="shared" si="16"/>
        <v>2023</v>
      </c>
      <c r="J332" t="str">
        <f t="shared" si="17"/>
        <v>10</v>
      </c>
    </row>
    <row r="333" spans="1:10" x14ac:dyDescent="0.3">
      <c r="A333">
        <v>1347</v>
      </c>
      <c r="B333">
        <v>45295</v>
      </c>
      <c r="C333" t="s">
        <v>16</v>
      </c>
      <c r="D333" t="s">
        <v>20</v>
      </c>
      <c r="E333" t="s">
        <v>21</v>
      </c>
      <c r="F333">
        <v>30715</v>
      </c>
      <c r="G333">
        <v>21468</v>
      </c>
      <c r="H333">
        <f t="shared" si="15"/>
        <v>9247</v>
      </c>
      <c r="I333" t="str">
        <f t="shared" si="16"/>
        <v>2024</v>
      </c>
      <c r="J333" t="str">
        <f t="shared" si="17"/>
        <v>01</v>
      </c>
    </row>
    <row r="334" spans="1:10" x14ac:dyDescent="0.3">
      <c r="A334">
        <v>1348</v>
      </c>
      <c r="B334">
        <v>45353</v>
      </c>
      <c r="C334" t="s">
        <v>12</v>
      </c>
      <c r="D334" t="s">
        <v>18</v>
      </c>
      <c r="E334" t="s">
        <v>23</v>
      </c>
      <c r="F334">
        <v>49245</v>
      </c>
      <c r="G334">
        <v>33348</v>
      </c>
      <c r="H334">
        <f t="shared" si="15"/>
        <v>15897</v>
      </c>
      <c r="I334" t="str">
        <f t="shared" si="16"/>
        <v>2024</v>
      </c>
      <c r="J334" t="str">
        <f t="shared" si="17"/>
        <v>03</v>
      </c>
    </row>
    <row r="335" spans="1:10" x14ac:dyDescent="0.3">
      <c r="A335">
        <v>1349</v>
      </c>
      <c r="B335">
        <v>45297</v>
      </c>
      <c r="C335" t="s">
        <v>14</v>
      </c>
      <c r="D335" t="s">
        <v>18</v>
      </c>
      <c r="E335" t="s">
        <v>21</v>
      </c>
      <c r="F335">
        <v>51160</v>
      </c>
      <c r="G335">
        <v>33293</v>
      </c>
      <c r="H335">
        <f t="shared" si="15"/>
        <v>17867</v>
      </c>
      <c r="I335" t="str">
        <f t="shared" si="16"/>
        <v>2024</v>
      </c>
      <c r="J335" t="str">
        <f t="shared" si="17"/>
        <v>01</v>
      </c>
    </row>
    <row r="336" spans="1:10" x14ac:dyDescent="0.3">
      <c r="A336">
        <v>1350</v>
      </c>
      <c r="B336">
        <v>45177</v>
      </c>
      <c r="C336" t="s">
        <v>15</v>
      </c>
      <c r="D336" t="s">
        <v>19</v>
      </c>
      <c r="E336" t="s">
        <v>23</v>
      </c>
      <c r="F336">
        <v>9433</v>
      </c>
      <c r="G336">
        <v>8034</v>
      </c>
      <c r="H336">
        <f t="shared" si="15"/>
        <v>1399</v>
      </c>
      <c r="I336" t="str">
        <f t="shared" si="16"/>
        <v>2023</v>
      </c>
      <c r="J336" t="str">
        <f t="shared" si="17"/>
        <v>09</v>
      </c>
    </row>
    <row r="337" spans="1:10" x14ac:dyDescent="0.3">
      <c r="A337">
        <v>1351</v>
      </c>
      <c r="B337">
        <v>45345</v>
      </c>
      <c r="C337" t="s">
        <v>9</v>
      </c>
      <c r="D337" t="s">
        <v>19</v>
      </c>
      <c r="E337" t="s">
        <v>24</v>
      </c>
      <c r="F337">
        <v>23021</v>
      </c>
      <c r="G337">
        <v>19631</v>
      </c>
      <c r="H337">
        <f t="shared" si="15"/>
        <v>3390</v>
      </c>
      <c r="I337" t="str">
        <f t="shared" si="16"/>
        <v>2024</v>
      </c>
      <c r="J337" t="str">
        <f t="shared" si="17"/>
        <v>02</v>
      </c>
    </row>
    <row r="338" spans="1:10" x14ac:dyDescent="0.3">
      <c r="A338">
        <v>1352</v>
      </c>
      <c r="B338">
        <v>45289</v>
      </c>
      <c r="C338" t="s">
        <v>15</v>
      </c>
      <c r="D338" t="s">
        <v>19</v>
      </c>
      <c r="E338" t="s">
        <v>21</v>
      </c>
      <c r="F338">
        <v>71287</v>
      </c>
      <c r="G338">
        <v>52524</v>
      </c>
      <c r="H338">
        <f t="shared" si="15"/>
        <v>18763</v>
      </c>
      <c r="I338" t="str">
        <f t="shared" si="16"/>
        <v>2023</v>
      </c>
      <c r="J338" t="str">
        <f t="shared" si="17"/>
        <v>12</v>
      </c>
    </row>
    <row r="339" spans="1:10" x14ac:dyDescent="0.3">
      <c r="A339">
        <v>1353</v>
      </c>
      <c r="B339">
        <v>45253</v>
      </c>
      <c r="C339" t="s">
        <v>13</v>
      </c>
      <c r="D339" t="s">
        <v>18</v>
      </c>
      <c r="E339" t="s">
        <v>24</v>
      </c>
      <c r="F339">
        <v>7061</v>
      </c>
      <c r="G339">
        <v>4250</v>
      </c>
      <c r="H339">
        <f t="shared" si="15"/>
        <v>2811</v>
      </c>
      <c r="I339" t="str">
        <f t="shared" si="16"/>
        <v>2023</v>
      </c>
      <c r="J339" t="str">
        <f t="shared" si="17"/>
        <v>11</v>
      </c>
    </row>
    <row r="340" spans="1:10" x14ac:dyDescent="0.3">
      <c r="A340">
        <v>1354</v>
      </c>
      <c r="B340">
        <v>44933</v>
      </c>
      <c r="C340" t="s">
        <v>9</v>
      </c>
      <c r="D340" t="s">
        <v>20</v>
      </c>
      <c r="E340" t="s">
        <v>23</v>
      </c>
      <c r="F340">
        <v>42576</v>
      </c>
      <c r="G340">
        <v>25764</v>
      </c>
      <c r="H340">
        <f t="shared" si="15"/>
        <v>16812</v>
      </c>
      <c r="I340" t="str">
        <f t="shared" si="16"/>
        <v>2023</v>
      </c>
      <c r="J340" t="str">
        <f t="shared" si="17"/>
        <v>01</v>
      </c>
    </row>
    <row r="341" spans="1:10" x14ac:dyDescent="0.3">
      <c r="A341">
        <v>1355</v>
      </c>
      <c r="B341">
        <v>45272</v>
      </c>
      <c r="C341" t="s">
        <v>16</v>
      </c>
      <c r="D341" t="s">
        <v>17</v>
      </c>
      <c r="E341" t="s">
        <v>22</v>
      </c>
      <c r="F341">
        <v>17624</v>
      </c>
      <c r="G341">
        <v>13346</v>
      </c>
      <c r="H341">
        <f t="shared" si="15"/>
        <v>4278</v>
      </c>
      <c r="I341" t="str">
        <f t="shared" si="16"/>
        <v>2023</v>
      </c>
      <c r="J341" t="str">
        <f t="shared" si="17"/>
        <v>12</v>
      </c>
    </row>
    <row r="342" spans="1:10" x14ac:dyDescent="0.3">
      <c r="A342">
        <v>1356</v>
      </c>
      <c r="B342">
        <v>45244</v>
      </c>
      <c r="C342" t="s">
        <v>11</v>
      </c>
      <c r="D342" t="s">
        <v>20</v>
      </c>
      <c r="E342" t="s">
        <v>25</v>
      </c>
      <c r="F342">
        <v>40038</v>
      </c>
      <c r="G342">
        <v>33571</v>
      </c>
      <c r="H342">
        <f t="shared" si="15"/>
        <v>6467</v>
      </c>
      <c r="I342" t="str">
        <f t="shared" si="16"/>
        <v>2023</v>
      </c>
      <c r="J342" t="str">
        <f t="shared" si="17"/>
        <v>11</v>
      </c>
    </row>
    <row r="343" spans="1:10" x14ac:dyDescent="0.3">
      <c r="A343">
        <v>1357</v>
      </c>
      <c r="B343">
        <v>45134</v>
      </c>
      <c r="C343" t="s">
        <v>14</v>
      </c>
      <c r="D343" t="s">
        <v>17</v>
      </c>
      <c r="E343" t="s">
        <v>21</v>
      </c>
      <c r="F343">
        <v>44318</v>
      </c>
      <c r="G343">
        <v>35685</v>
      </c>
      <c r="H343">
        <f t="shared" si="15"/>
        <v>8633</v>
      </c>
      <c r="I343" t="str">
        <f t="shared" si="16"/>
        <v>2023</v>
      </c>
      <c r="J343" t="str">
        <f t="shared" si="17"/>
        <v>07</v>
      </c>
    </row>
    <row r="344" spans="1:10" x14ac:dyDescent="0.3">
      <c r="A344">
        <v>1358</v>
      </c>
      <c r="B344">
        <v>45261</v>
      </c>
      <c r="C344" t="s">
        <v>9</v>
      </c>
      <c r="D344" t="s">
        <v>19</v>
      </c>
      <c r="E344" t="s">
        <v>24</v>
      </c>
      <c r="F344">
        <v>54710</v>
      </c>
      <c r="G344">
        <v>39016</v>
      </c>
      <c r="H344">
        <f t="shared" si="15"/>
        <v>15694</v>
      </c>
      <c r="I344" t="str">
        <f t="shared" si="16"/>
        <v>2023</v>
      </c>
      <c r="J344" t="str">
        <f t="shared" si="17"/>
        <v>12</v>
      </c>
    </row>
    <row r="345" spans="1:10" x14ac:dyDescent="0.3">
      <c r="A345">
        <v>1359</v>
      </c>
      <c r="B345">
        <v>45253</v>
      </c>
      <c r="C345" t="s">
        <v>9</v>
      </c>
      <c r="D345" t="s">
        <v>17</v>
      </c>
      <c r="E345" t="s">
        <v>22</v>
      </c>
      <c r="F345">
        <v>70517</v>
      </c>
      <c r="G345">
        <v>60193</v>
      </c>
      <c r="H345">
        <f t="shared" si="15"/>
        <v>10324</v>
      </c>
      <c r="I345" t="str">
        <f t="shared" si="16"/>
        <v>2023</v>
      </c>
      <c r="J345" t="str">
        <f t="shared" si="17"/>
        <v>11</v>
      </c>
    </row>
    <row r="346" spans="1:10" x14ac:dyDescent="0.3">
      <c r="A346">
        <v>1360</v>
      </c>
      <c r="B346">
        <v>45096</v>
      </c>
      <c r="C346" t="s">
        <v>13</v>
      </c>
      <c r="D346" t="s">
        <v>19</v>
      </c>
      <c r="E346" t="s">
        <v>23</v>
      </c>
      <c r="F346">
        <v>10577</v>
      </c>
      <c r="G346">
        <v>7075</v>
      </c>
      <c r="H346">
        <f t="shared" si="15"/>
        <v>3502</v>
      </c>
      <c r="I346" t="str">
        <f t="shared" si="16"/>
        <v>2023</v>
      </c>
      <c r="J346" t="str">
        <f t="shared" si="17"/>
        <v>06</v>
      </c>
    </row>
    <row r="347" spans="1:10" x14ac:dyDescent="0.3">
      <c r="A347">
        <v>1361</v>
      </c>
      <c r="B347">
        <v>45281</v>
      </c>
      <c r="C347" t="s">
        <v>13</v>
      </c>
      <c r="D347" t="s">
        <v>18</v>
      </c>
      <c r="E347" t="s">
        <v>25</v>
      </c>
      <c r="F347">
        <v>11102</v>
      </c>
      <c r="G347">
        <v>9739</v>
      </c>
      <c r="H347">
        <f t="shared" si="15"/>
        <v>1363</v>
      </c>
      <c r="I347" t="str">
        <f t="shared" si="16"/>
        <v>2023</v>
      </c>
      <c r="J347" t="str">
        <f t="shared" si="17"/>
        <v>12</v>
      </c>
    </row>
    <row r="348" spans="1:10" x14ac:dyDescent="0.3">
      <c r="A348">
        <v>1362</v>
      </c>
      <c r="B348">
        <v>45070</v>
      </c>
      <c r="C348" t="s">
        <v>11</v>
      </c>
      <c r="D348" t="s">
        <v>19</v>
      </c>
      <c r="E348" t="s">
        <v>21</v>
      </c>
      <c r="F348">
        <v>46220</v>
      </c>
      <c r="G348">
        <v>27949</v>
      </c>
      <c r="H348">
        <f t="shared" si="15"/>
        <v>18271</v>
      </c>
      <c r="I348" t="str">
        <f t="shared" si="16"/>
        <v>2023</v>
      </c>
      <c r="J348" t="str">
        <f t="shared" si="17"/>
        <v>05</v>
      </c>
    </row>
    <row r="349" spans="1:10" x14ac:dyDescent="0.3">
      <c r="A349">
        <v>1363</v>
      </c>
      <c r="B349">
        <v>45000</v>
      </c>
      <c r="C349" t="s">
        <v>16</v>
      </c>
      <c r="D349" t="s">
        <v>19</v>
      </c>
      <c r="E349" t="s">
        <v>25</v>
      </c>
      <c r="F349">
        <v>26292</v>
      </c>
      <c r="G349">
        <v>20223</v>
      </c>
      <c r="H349">
        <f t="shared" si="15"/>
        <v>6069</v>
      </c>
      <c r="I349" t="str">
        <f t="shared" si="16"/>
        <v>2023</v>
      </c>
      <c r="J349" t="str">
        <f t="shared" si="17"/>
        <v>03</v>
      </c>
    </row>
    <row r="350" spans="1:10" x14ac:dyDescent="0.3">
      <c r="A350">
        <v>1364</v>
      </c>
      <c r="B350">
        <v>45361</v>
      </c>
      <c r="C350" t="s">
        <v>16</v>
      </c>
      <c r="D350" t="s">
        <v>20</v>
      </c>
      <c r="E350" t="s">
        <v>24</v>
      </c>
      <c r="F350">
        <v>23343</v>
      </c>
      <c r="G350">
        <v>19541</v>
      </c>
      <c r="H350">
        <f t="shared" si="15"/>
        <v>3802</v>
      </c>
      <c r="I350" t="str">
        <f t="shared" si="16"/>
        <v>2024</v>
      </c>
      <c r="J350" t="str">
        <f t="shared" si="17"/>
        <v>03</v>
      </c>
    </row>
    <row r="351" spans="1:10" x14ac:dyDescent="0.3">
      <c r="A351">
        <v>1365</v>
      </c>
      <c r="B351">
        <v>44967</v>
      </c>
      <c r="C351" t="s">
        <v>11</v>
      </c>
      <c r="D351" t="s">
        <v>20</v>
      </c>
      <c r="E351" t="s">
        <v>22</v>
      </c>
      <c r="F351">
        <v>17803</v>
      </c>
      <c r="G351">
        <v>13016</v>
      </c>
      <c r="H351">
        <f t="shared" si="15"/>
        <v>4787</v>
      </c>
      <c r="I351" t="str">
        <f t="shared" si="16"/>
        <v>2023</v>
      </c>
      <c r="J351" t="str">
        <f t="shared" si="17"/>
        <v>02</v>
      </c>
    </row>
    <row r="352" spans="1:10" x14ac:dyDescent="0.3">
      <c r="A352">
        <v>1366</v>
      </c>
      <c r="B352">
        <v>45101</v>
      </c>
      <c r="C352" t="s">
        <v>13</v>
      </c>
      <c r="D352" t="s">
        <v>18</v>
      </c>
      <c r="E352" t="s">
        <v>25</v>
      </c>
      <c r="F352">
        <v>8883</v>
      </c>
      <c r="G352">
        <v>7019</v>
      </c>
      <c r="H352">
        <f t="shared" si="15"/>
        <v>1864</v>
      </c>
      <c r="I352" t="str">
        <f t="shared" si="16"/>
        <v>2023</v>
      </c>
      <c r="J352" t="str">
        <f t="shared" si="17"/>
        <v>06</v>
      </c>
    </row>
    <row r="353" spans="1:10" x14ac:dyDescent="0.3">
      <c r="A353">
        <v>1367</v>
      </c>
      <c r="B353">
        <v>45157</v>
      </c>
      <c r="C353" t="s">
        <v>14</v>
      </c>
      <c r="D353" t="s">
        <v>17</v>
      </c>
      <c r="E353" t="s">
        <v>25</v>
      </c>
      <c r="F353">
        <v>77487</v>
      </c>
      <c r="G353">
        <v>68370</v>
      </c>
      <c r="H353">
        <f t="shared" si="15"/>
        <v>9117</v>
      </c>
      <c r="I353" t="str">
        <f t="shared" si="16"/>
        <v>2023</v>
      </c>
      <c r="J353" t="str">
        <f t="shared" si="17"/>
        <v>08</v>
      </c>
    </row>
    <row r="354" spans="1:10" x14ac:dyDescent="0.3">
      <c r="A354">
        <v>1368</v>
      </c>
      <c r="B354">
        <v>45275</v>
      </c>
      <c r="C354" t="s">
        <v>13</v>
      </c>
      <c r="D354" t="s">
        <v>18</v>
      </c>
      <c r="E354" t="s">
        <v>22</v>
      </c>
      <c r="F354">
        <v>43715</v>
      </c>
      <c r="G354">
        <v>36695</v>
      </c>
      <c r="H354">
        <f t="shared" si="15"/>
        <v>7020</v>
      </c>
      <c r="I354" t="str">
        <f t="shared" si="16"/>
        <v>2023</v>
      </c>
      <c r="J354" t="str">
        <f t="shared" si="17"/>
        <v>12</v>
      </c>
    </row>
    <row r="355" spans="1:10" x14ac:dyDescent="0.3">
      <c r="A355">
        <v>1369</v>
      </c>
      <c r="B355">
        <v>44969</v>
      </c>
      <c r="C355" t="s">
        <v>7</v>
      </c>
      <c r="D355" t="s">
        <v>17</v>
      </c>
      <c r="E355" t="s">
        <v>24</v>
      </c>
      <c r="F355">
        <v>25221</v>
      </c>
      <c r="G355">
        <v>20729</v>
      </c>
      <c r="H355">
        <f t="shared" si="15"/>
        <v>4492</v>
      </c>
      <c r="I355" t="str">
        <f t="shared" si="16"/>
        <v>2023</v>
      </c>
      <c r="J355" t="str">
        <f t="shared" si="17"/>
        <v>02</v>
      </c>
    </row>
    <row r="356" spans="1:10" x14ac:dyDescent="0.3">
      <c r="A356">
        <v>1370</v>
      </c>
      <c r="B356">
        <v>44981</v>
      </c>
      <c r="C356" t="s">
        <v>8</v>
      </c>
      <c r="D356" t="s">
        <v>19</v>
      </c>
      <c r="E356" t="s">
        <v>25</v>
      </c>
      <c r="F356">
        <v>63292</v>
      </c>
      <c r="G356">
        <v>44809</v>
      </c>
      <c r="H356">
        <f t="shared" si="15"/>
        <v>18483</v>
      </c>
      <c r="I356" t="str">
        <f t="shared" si="16"/>
        <v>2023</v>
      </c>
      <c r="J356" t="str">
        <f t="shared" si="17"/>
        <v>02</v>
      </c>
    </row>
    <row r="357" spans="1:10" x14ac:dyDescent="0.3">
      <c r="A357">
        <v>1371</v>
      </c>
      <c r="B357">
        <v>44994</v>
      </c>
      <c r="C357" t="s">
        <v>8</v>
      </c>
      <c r="D357" t="s">
        <v>17</v>
      </c>
      <c r="E357" t="s">
        <v>24</v>
      </c>
      <c r="F357">
        <v>63830</v>
      </c>
      <c r="G357">
        <v>48963</v>
      </c>
      <c r="H357">
        <f t="shared" si="15"/>
        <v>14867</v>
      </c>
      <c r="I357" t="str">
        <f t="shared" si="16"/>
        <v>2023</v>
      </c>
      <c r="J357" t="str">
        <f t="shared" si="17"/>
        <v>03</v>
      </c>
    </row>
    <row r="358" spans="1:10" x14ac:dyDescent="0.3">
      <c r="A358">
        <v>1372</v>
      </c>
      <c r="B358">
        <v>44979</v>
      </c>
      <c r="C358" t="s">
        <v>9</v>
      </c>
      <c r="D358" t="s">
        <v>19</v>
      </c>
      <c r="E358" t="s">
        <v>25</v>
      </c>
      <c r="F358">
        <v>77642</v>
      </c>
      <c r="G358">
        <v>48752</v>
      </c>
      <c r="H358">
        <f t="shared" si="15"/>
        <v>28890</v>
      </c>
      <c r="I358" t="str">
        <f t="shared" si="16"/>
        <v>2023</v>
      </c>
      <c r="J358" t="str">
        <f t="shared" si="17"/>
        <v>02</v>
      </c>
    </row>
    <row r="359" spans="1:10" x14ac:dyDescent="0.3">
      <c r="A359">
        <v>1373</v>
      </c>
      <c r="B359">
        <v>45093</v>
      </c>
      <c r="C359" t="s">
        <v>16</v>
      </c>
      <c r="D359" t="s">
        <v>19</v>
      </c>
      <c r="E359" t="s">
        <v>25</v>
      </c>
      <c r="F359">
        <v>59238</v>
      </c>
      <c r="G359">
        <v>42434</v>
      </c>
      <c r="H359">
        <f t="shared" si="15"/>
        <v>16804</v>
      </c>
      <c r="I359" t="str">
        <f t="shared" si="16"/>
        <v>2023</v>
      </c>
      <c r="J359" t="str">
        <f t="shared" si="17"/>
        <v>06</v>
      </c>
    </row>
    <row r="360" spans="1:10" x14ac:dyDescent="0.3">
      <c r="A360">
        <v>1374</v>
      </c>
      <c r="B360">
        <v>45213</v>
      </c>
      <c r="C360" t="s">
        <v>12</v>
      </c>
      <c r="D360" t="s">
        <v>17</v>
      </c>
      <c r="E360" t="s">
        <v>24</v>
      </c>
      <c r="F360">
        <v>27216</v>
      </c>
      <c r="G360">
        <v>17463</v>
      </c>
      <c r="H360">
        <f t="shared" si="15"/>
        <v>9753</v>
      </c>
      <c r="I360" t="str">
        <f t="shared" si="16"/>
        <v>2023</v>
      </c>
      <c r="J360" t="str">
        <f t="shared" si="17"/>
        <v>10</v>
      </c>
    </row>
    <row r="361" spans="1:10" x14ac:dyDescent="0.3">
      <c r="A361">
        <v>1375</v>
      </c>
      <c r="B361">
        <v>45179</v>
      </c>
      <c r="C361" t="s">
        <v>15</v>
      </c>
      <c r="D361" t="s">
        <v>19</v>
      </c>
      <c r="E361" t="s">
        <v>21</v>
      </c>
      <c r="F361">
        <v>61973</v>
      </c>
      <c r="G361">
        <v>42314</v>
      </c>
      <c r="H361">
        <f t="shared" si="15"/>
        <v>19659</v>
      </c>
      <c r="I361" t="str">
        <f t="shared" si="16"/>
        <v>2023</v>
      </c>
      <c r="J361" t="str">
        <f t="shared" si="17"/>
        <v>09</v>
      </c>
    </row>
    <row r="362" spans="1:10" x14ac:dyDescent="0.3">
      <c r="A362">
        <v>1376</v>
      </c>
      <c r="B362">
        <v>45327</v>
      </c>
      <c r="C362" t="s">
        <v>8</v>
      </c>
      <c r="D362" t="s">
        <v>20</v>
      </c>
      <c r="E362" t="s">
        <v>25</v>
      </c>
      <c r="F362">
        <v>37321</v>
      </c>
      <c r="G362">
        <v>30464</v>
      </c>
      <c r="H362">
        <f t="shared" si="15"/>
        <v>6857</v>
      </c>
      <c r="I362" t="str">
        <f t="shared" si="16"/>
        <v>2024</v>
      </c>
      <c r="J362" t="str">
        <f t="shared" si="17"/>
        <v>02</v>
      </c>
    </row>
    <row r="363" spans="1:10" x14ac:dyDescent="0.3">
      <c r="A363">
        <v>1377</v>
      </c>
      <c r="B363">
        <v>45242</v>
      </c>
      <c r="C363" t="s">
        <v>12</v>
      </c>
      <c r="D363" t="s">
        <v>18</v>
      </c>
      <c r="E363" t="s">
        <v>22</v>
      </c>
      <c r="F363">
        <v>22758</v>
      </c>
      <c r="G363">
        <v>15734</v>
      </c>
      <c r="H363">
        <f t="shared" si="15"/>
        <v>7024</v>
      </c>
      <c r="I363" t="str">
        <f t="shared" si="16"/>
        <v>2023</v>
      </c>
      <c r="J363" t="str">
        <f t="shared" si="17"/>
        <v>11</v>
      </c>
    </row>
    <row r="364" spans="1:10" x14ac:dyDescent="0.3">
      <c r="A364">
        <v>1378</v>
      </c>
      <c r="B364">
        <v>45097</v>
      </c>
      <c r="C364" t="s">
        <v>13</v>
      </c>
      <c r="D364" t="s">
        <v>18</v>
      </c>
      <c r="E364" t="s">
        <v>25</v>
      </c>
      <c r="F364">
        <v>62700</v>
      </c>
      <c r="G364">
        <v>43916</v>
      </c>
      <c r="H364">
        <f t="shared" si="15"/>
        <v>18784</v>
      </c>
      <c r="I364" t="str">
        <f t="shared" si="16"/>
        <v>2023</v>
      </c>
      <c r="J364" t="str">
        <f t="shared" si="17"/>
        <v>06</v>
      </c>
    </row>
    <row r="365" spans="1:10" x14ac:dyDescent="0.3">
      <c r="A365">
        <v>1379</v>
      </c>
      <c r="B365">
        <v>45367</v>
      </c>
      <c r="C365" t="s">
        <v>13</v>
      </c>
      <c r="D365" t="s">
        <v>17</v>
      </c>
      <c r="E365" t="s">
        <v>25</v>
      </c>
      <c r="F365">
        <v>47030</v>
      </c>
      <c r="G365">
        <v>36728</v>
      </c>
      <c r="H365">
        <f t="shared" si="15"/>
        <v>10302</v>
      </c>
      <c r="I365" t="str">
        <f t="shared" si="16"/>
        <v>2024</v>
      </c>
      <c r="J365" t="str">
        <f t="shared" si="17"/>
        <v>03</v>
      </c>
    </row>
    <row r="366" spans="1:10" x14ac:dyDescent="0.3">
      <c r="A366">
        <v>1380</v>
      </c>
      <c r="B366">
        <v>45172</v>
      </c>
      <c r="C366" t="s">
        <v>10</v>
      </c>
      <c r="D366" t="s">
        <v>17</v>
      </c>
      <c r="E366" t="s">
        <v>24</v>
      </c>
      <c r="F366">
        <v>46830</v>
      </c>
      <c r="G366">
        <v>32192</v>
      </c>
      <c r="H366">
        <f t="shared" si="15"/>
        <v>14638</v>
      </c>
      <c r="I366" t="str">
        <f t="shared" si="16"/>
        <v>2023</v>
      </c>
      <c r="J366" t="str">
        <f t="shared" si="17"/>
        <v>09</v>
      </c>
    </row>
    <row r="367" spans="1:10" x14ac:dyDescent="0.3">
      <c r="A367">
        <v>1381</v>
      </c>
      <c r="B367">
        <v>45178</v>
      </c>
      <c r="C367" t="s">
        <v>13</v>
      </c>
      <c r="D367" t="s">
        <v>17</v>
      </c>
      <c r="E367" t="s">
        <v>25</v>
      </c>
      <c r="F367">
        <v>54290</v>
      </c>
      <c r="G367">
        <v>37139</v>
      </c>
      <c r="H367">
        <f t="shared" si="15"/>
        <v>17151</v>
      </c>
      <c r="I367" t="str">
        <f t="shared" si="16"/>
        <v>2023</v>
      </c>
      <c r="J367" t="str">
        <f t="shared" si="17"/>
        <v>09</v>
      </c>
    </row>
    <row r="368" spans="1:10" x14ac:dyDescent="0.3">
      <c r="A368">
        <v>1382</v>
      </c>
      <c r="B368">
        <v>45113</v>
      </c>
      <c r="C368" t="s">
        <v>8</v>
      </c>
      <c r="D368" t="s">
        <v>17</v>
      </c>
      <c r="E368" t="s">
        <v>23</v>
      </c>
      <c r="F368">
        <v>76516</v>
      </c>
      <c r="G368">
        <v>50039</v>
      </c>
      <c r="H368">
        <f t="shared" si="15"/>
        <v>26477</v>
      </c>
      <c r="I368" t="str">
        <f t="shared" si="16"/>
        <v>2023</v>
      </c>
      <c r="J368" t="str">
        <f t="shared" si="17"/>
        <v>07</v>
      </c>
    </row>
    <row r="369" spans="1:10" x14ac:dyDescent="0.3">
      <c r="A369">
        <v>1383</v>
      </c>
      <c r="B369">
        <v>44940</v>
      </c>
      <c r="C369" t="s">
        <v>14</v>
      </c>
      <c r="D369" t="s">
        <v>17</v>
      </c>
      <c r="E369" t="s">
        <v>24</v>
      </c>
      <c r="F369">
        <v>43185</v>
      </c>
      <c r="G369">
        <v>36680</v>
      </c>
      <c r="H369">
        <f t="shared" si="15"/>
        <v>6505</v>
      </c>
      <c r="I369" t="str">
        <f t="shared" si="16"/>
        <v>2023</v>
      </c>
      <c r="J369" t="str">
        <f t="shared" si="17"/>
        <v>01</v>
      </c>
    </row>
    <row r="370" spans="1:10" x14ac:dyDescent="0.3">
      <c r="A370">
        <v>1384</v>
      </c>
      <c r="B370">
        <v>45361</v>
      </c>
      <c r="C370" t="s">
        <v>16</v>
      </c>
      <c r="D370" t="s">
        <v>18</v>
      </c>
      <c r="E370" t="s">
        <v>21</v>
      </c>
      <c r="F370">
        <v>44692</v>
      </c>
      <c r="G370">
        <v>30060</v>
      </c>
      <c r="H370">
        <f t="shared" si="15"/>
        <v>14632</v>
      </c>
      <c r="I370" t="str">
        <f t="shared" si="16"/>
        <v>2024</v>
      </c>
      <c r="J370" t="str">
        <f t="shared" si="17"/>
        <v>03</v>
      </c>
    </row>
    <row r="371" spans="1:10" x14ac:dyDescent="0.3">
      <c r="A371">
        <v>1385</v>
      </c>
      <c r="B371">
        <v>45293</v>
      </c>
      <c r="C371" t="s">
        <v>16</v>
      </c>
      <c r="D371" t="s">
        <v>18</v>
      </c>
      <c r="E371" t="s">
        <v>22</v>
      </c>
      <c r="F371">
        <v>63860</v>
      </c>
      <c r="G371">
        <v>57295</v>
      </c>
      <c r="H371">
        <f t="shared" si="15"/>
        <v>6565</v>
      </c>
      <c r="I371" t="str">
        <f t="shared" si="16"/>
        <v>2024</v>
      </c>
      <c r="J371" t="str">
        <f t="shared" si="17"/>
        <v>01</v>
      </c>
    </row>
    <row r="372" spans="1:10" x14ac:dyDescent="0.3">
      <c r="A372">
        <v>1386</v>
      </c>
      <c r="B372">
        <v>45132</v>
      </c>
      <c r="C372" t="s">
        <v>11</v>
      </c>
      <c r="D372" t="s">
        <v>18</v>
      </c>
      <c r="E372" t="s">
        <v>23</v>
      </c>
      <c r="F372">
        <v>9818</v>
      </c>
      <c r="G372">
        <v>8219</v>
      </c>
      <c r="H372">
        <f t="shared" si="15"/>
        <v>1599</v>
      </c>
      <c r="I372" t="str">
        <f t="shared" si="16"/>
        <v>2023</v>
      </c>
      <c r="J372" t="str">
        <f t="shared" si="17"/>
        <v>07</v>
      </c>
    </row>
    <row r="373" spans="1:10" x14ac:dyDescent="0.3">
      <c r="A373">
        <v>1387</v>
      </c>
      <c r="B373">
        <v>45342</v>
      </c>
      <c r="C373" t="s">
        <v>11</v>
      </c>
      <c r="D373" t="s">
        <v>19</v>
      </c>
      <c r="E373" t="s">
        <v>22</v>
      </c>
      <c r="F373">
        <v>37536</v>
      </c>
      <c r="G373">
        <v>29926</v>
      </c>
      <c r="H373">
        <f t="shared" si="15"/>
        <v>7610</v>
      </c>
      <c r="I373" t="str">
        <f t="shared" si="16"/>
        <v>2024</v>
      </c>
      <c r="J373" t="str">
        <f t="shared" si="17"/>
        <v>02</v>
      </c>
    </row>
    <row r="374" spans="1:10" x14ac:dyDescent="0.3">
      <c r="A374">
        <v>1388</v>
      </c>
      <c r="B374">
        <v>45258</v>
      </c>
      <c r="C374" t="s">
        <v>13</v>
      </c>
      <c r="D374" t="s">
        <v>19</v>
      </c>
      <c r="E374" t="s">
        <v>23</v>
      </c>
      <c r="F374">
        <v>57378</v>
      </c>
      <c r="G374">
        <v>51068</v>
      </c>
      <c r="H374">
        <f t="shared" si="15"/>
        <v>6310</v>
      </c>
      <c r="I374" t="str">
        <f t="shared" si="16"/>
        <v>2023</v>
      </c>
      <c r="J374" t="str">
        <f t="shared" si="17"/>
        <v>11</v>
      </c>
    </row>
    <row r="375" spans="1:10" x14ac:dyDescent="0.3">
      <c r="A375">
        <v>1389</v>
      </c>
      <c r="B375">
        <v>45334</v>
      </c>
      <c r="C375" t="s">
        <v>16</v>
      </c>
      <c r="D375" t="s">
        <v>19</v>
      </c>
      <c r="E375" t="s">
        <v>22</v>
      </c>
      <c r="F375">
        <v>17924</v>
      </c>
      <c r="G375">
        <v>12145</v>
      </c>
      <c r="H375">
        <f t="shared" si="15"/>
        <v>5779</v>
      </c>
      <c r="I375" t="str">
        <f t="shared" si="16"/>
        <v>2024</v>
      </c>
      <c r="J375" t="str">
        <f t="shared" si="17"/>
        <v>02</v>
      </c>
    </row>
    <row r="376" spans="1:10" x14ac:dyDescent="0.3">
      <c r="A376">
        <v>1390</v>
      </c>
      <c r="B376">
        <v>45192</v>
      </c>
      <c r="C376" t="s">
        <v>11</v>
      </c>
      <c r="D376" t="s">
        <v>17</v>
      </c>
      <c r="E376" t="s">
        <v>24</v>
      </c>
      <c r="F376">
        <v>54036</v>
      </c>
      <c r="G376">
        <v>38762</v>
      </c>
      <c r="H376">
        <f t="shared" si="15"/>
        <v>15274</v>
      </c>
      <c r="I376" t="str">
        <f t="shared" si="16"/>
        <v>2023</v>
      </c>
      <c r="J376" t="str">
        <f t="shared" si="17"/>
        <v>09</v>
      </c>
    </row>
    <row r="377" spans="1:10" x14ac:dyDescent="0.3">
      <c r="A377">
        <v>1391</v>
      </c>
      <c r="B377">
        <v>45228</v>
      </c>
      <c r="C377" t="s">
        <v>11</v>
      </c>
      <c r="D377" t="s">
        <v>17</v>
      </c>
      <c r="E377" t="s">
        <v>25</v>
      </c>
      <c r="F377">
        <v>8219</v>
      </c>
      <c r="G377">
        <v>6121</v>
      </c>
      <c r="H377">
        <f t="shared" si="15"/>
        <v>2098</v>
      </c>
      <c r="I377" t="str">
        <f t="shared" si="16"/>
        <v>2023</v>
      </c>
      <c r="J377" t="str">
        <f t="shared" si="17"/>
        <v>10</v>
      </c>
    </row>
    <row r="378" spans="1:10" x14ac:dyDescent="0.3">
      <c r="A378">
        <v>1392</v>
      </c>
      <c r="B378">
        <v>44970</v>
      </c>
      <c r="C378" t="s">
        <v>8</v>
      </c>
      <c r="D378" t="s">
        <v>17</v>
      </c>
      <c r="E378" t="s">
        <v>25</v>
      </c>
      <c r="F378">
        <v>45880</v>
      </c>
      <c r="G378">
        <v>32249</v>
      </c>
      <c r="H378">
        <f t="shared" si="15"/>
        <v>13631</v>
      </c>
      <c r="I378" t="str">
        <f t="shared" si="16"/>
        <v>2023</v>
      </c>
      <c r="J378" t="str">
        <f t="shared" si="17"/>
        <v>02</v>
      </c>
    </row>
    <row r="379" spans="1:10" x14ac:dyDescent="0.3">
      <c r="A379">
        <v>1393</v>
      </c>
      <c r="B379">
        <v>45193</v>
      </c>
      <c r="C379" t="s">
        <v>14</v>
      </c>
      <c r="D379" t="s">
        <v>20</v>
      </c>
      <c r="E379" t="s">
        <v>24</v>
      </c>
      <c r="F379">
        <v>17795</v>
      </c>
      <c r="G379">
        <v>13016</v>
      </c>
      <c r="H379">
        <f t="shared" si="15"/>
        <v>4779</v>
      </c>
      <c r="I379" t="str">
        <f t="shared" si="16"/>
        <v>2023</v>
      </c>
      <c r="J379" t="str">
        <f t="shared" si="17"/>
        <v>09</v>
      </c>
    </row>
    <row r="380" spans="1:10" x14ac:dyDescent="0.3">
      <c r="A380">
        <v>1394</v>
      </c>
      <c r="B380">
        <v>45090</v>
      </c>
      <c r="C380" t="s">
        <v>8</v>
      </c>
      <c r="D380" t="s">
        <v>20</v>
      </c>
      <c r="E380" t="s">
        <v>22</v>
      </c>
      <c r="F380">
        <v>20084</v>
      </c>
      <c r="G380">
        <v>12186</v>
      </c>
      <c r="H380">
        <f t="shared" si="15"/>
        <v>7898</v>
      </c>
      <c r="I380" t="str">
        <f t="shared" si="16"/>
        <v>2023</v>
      </c>
      <c r="J380" t="str">
        <f t="shared" si="17"/>
        <v>06</v>
      </c>
    </row>
    <row r="381" spans="1:10" x14ac:dyDescent="0.3">
      <c r="A381">
        <v>1395</v>
      </c>
      <c r="B381">
        <v>44982</v>
      </c>
      <c r="C381" t="s">
        <v>15</v>
      </c>
      <c r="D381" t="s">
        <v>17</v>
      </c>
      <c r="E381" t="s">
        <v>23</v>
      </c>
      <c r="F381">
        <v>27865</v>
      </c>
      <c r="G381">
        <v>21332</v>
      </c>
      <c r="H381">
        <f t="shared" si="15"/>
        <v>6533</v>
      </c>
      <c r="I381" t="str">
        <f t="shared" si="16"/>
        <v>2023</v>
      </c>
      <c r="J381" t="str">
        <f t="shared" si="17"/>
        <v>02</v>
      </c>
    </row>
    <row r="382" spans="1:10" x14ac:dyDescent="0.3">
      <c r="A382">
        <v>1396</v>
      </c>
      <c r="B382">
        <v>45145</v>
      </c>
      <c r="C382" t="s">
        <v>14</v>
      </c>
      <c r="D382" t="s">
        <v>17</v>
      </c>
      <c r="E382" t="s">
        <v>24</v>
      </c>
      <c r="F382">
        <v>29176</v>
      </c>
      <c r="G382">
        <v>19137</v>
      </c>
      <c r="H382">
        <f t="shared" si="15"/>
        <v>10039</v>
      </c>
      <c r="I382" t="str">
        <f t="shared" si="16"/>
        <v>2023</v>
      </c>
      <c r="J382" t="str">
        <f t="shared" si="17"/>
        <v>08</v>
      </c>
    </row>
    <row r="383" spans="1:10" x14ac:dyDescent="0.3">
      <c r="A383">
        <v>1397</v>
      </c>
      <c r="B383">
        <v>45129</v>
      </c>
      <c r="C383" t="s">
        <v>9</v>
      </c>
      <c r="D383" t="s">
        <v>17</v>
      </c>
      <c r="E383" t="s">
        <v>24</v>
      </c>
      <c r="F383">
        <v>61302</v>
      </c>
      <c r="G383">
        <v>43932</v>
      </c>
      <c r="H383">
        <f t="shared" si="15"/>
        <v>17370</v>
      </c>
      <c r="I383" t="str">
        <f t="shared" si="16"/>
        <v>2023</v>
      </c>
      <c r="J383" t="str">
        <f t="shared" si="17"/>
        <v>07</v>
      </c>
    </row>
    <row r="384" spans="1:10" x14ac:dyDescent="0.3">
      <c r="A384">
        <v>1398</v>
      </c>
      <c r="B384">
        <v>45032</v>
      </c>
      <c r="C384" t="s">
        <v>7</v>
      </c>
      <c r="D384" t="s">
        <v>19</v>
      </c>
      <c r="E384" t="s">
        <v>23</v>
      </c>
      <c r="F384">
        <v>18336</v>
      </c>
      <c r="G384">
        <v>15399</v>
      </c>
      <c r="H384">
        <f t="shared" si="15"/>
        <v>2937</v>
      </c>
      <c r="I384" t="str">
        <f t="shared" si="16"/>
        <v>2023</v>
      </c>
      <c r="J384" t="str">
        <f t="shared" si="17"/>
        <v>04</v>
      </c>
    </row>
    <row r="385" spans="1:10" x14ac:dyDescent="0.3">
      <c r="A385">
        <v>1399</v>
      </c>
      <c r="B385">
        <v>45114</v>
      </c>
      <c r="C385" t="s">
        <v>10</v>
      </c>
      <c r="D385" t="s">
        <v>17</v>
      </c>
      <c r="E385" t="s">
        <v>24</v>
      </c>
      <c r="F385">
        <v>19936</v>
      </c>
      <c r="G385">
        <v>13530</v>
      </c>
      <c r="H385">
        <f t="shared" si="15"/>
        <v>6406</v>
      </c>
      <c r="I385" t="str">
        <f t="shared" si="16"/>
        <v>2023</v>
      </c>
      <c r="J385" t="str">
        <f t="shared" si="17"/>
        <v>07</v>
      </c>
    </row>
    <row r="386" spans="1:10" x14ac:dyDescent="0.3">
      <c r="A386">
        <v>1400</v>
      </c>
      <c r="B386">
        <v>45197</v>
      </c>
      <c r="C386" t="s">
        <v>10</v>
      </c>
      <c r="D386" t="s">
        <v>18</v>
      </c>
      <c r="E386" t="s">
        <v>23</v>
      </c>
      <c r="F386">
        <v>56451</v>
      </c>
      <c r="G386">
        <v>43811</v>
      </c>
      <c r="H386">
        <f t="shared" ref="H386:H449" si="18">F386-G386</f>
        <v>12640</v>
      </c>
      <c r="I386" t="str">
        <f t="shared" ref="I386:I449" si="19">TEXT(B386,"yyyy")</f>
        <v>2023</v>
      </c>
      <c r="J386" t="str">
        <f t="shared" ref="J386:J449" si="20">TEXT(B386,"mm")</f>
        <v>09</v>
      </c>
    </row>
    <row r="387" spans="1:10" x14ac:dyDescent="0.3">
      <c r="A387">
        <v>1401</v>
      </c>
      <c r="B387">
        <v>45359</v>
      </c>
      <c r="C387" t="s">
        <v>14</v>
      </c>
      <c r="D387" t="s">
        <v>17</v>
      </c>
      <c r="E387" t="s">
        <v>25</v>
      </c>
      <c r="F387">
        <v>16108</v>
      </c>
      <c r="G387">
        <v>12912</v>
      </c>
      <c r="H387">
        <f t="shared" si="18"/>
        <v>3196</v>
      </c>
      <c r="I387" t="str">
        <f t="shared" si="19"/>
        <v>2024</v>
      </c>
      <c r="J387" t="str">
        <f t="shared" si="20"/>
        <v>03</v>
      </c>
    </row>
    <row r="388" spans="1:10" x14ac:dyDescent="0.3">
      <c r="A388">
        <v>1402</v>
      </c>
      <c r="B388">
        <v>45049</v>
      </c>
      <c r="C388" t="s">
        <v>7</v>
      </c>
      <c r="D388" t="s">
        <v>19</v>
      </c>
      <c r="E388" t="s">
        <v>21</v>
      </c>
      <c r="F388">
        <v>53929</v>
      </c>
      <c r="G388">
        <v>43576</v>
      </c>
      <c r="H388">
        <f t="shared" si="18"/>
        <v>10353</v>
      </c>
      <c r="I388" t="str">
        <f t="shared" si="19"/>
        <v>2023</v>
      </c>
      <c r="J388" t="str">
        <f t="shared" si="20"/>
        <v>05</v>
      </c>
    </row>
    <row r="389" spans="1:10" x14ac:dyDescent="0.3">
      <c r="A389">
        <v>1403</v>
      </c>
      <c r="B389">
        <v>45141</v>
      </c>
      <c r="C389" t="s">
        <v>13</v>
      </c>
      <c r="D389" t="s">
        <v>17</v>
      </c>
      <c r="E389" t="s">
        <v>23</v>
      </c>
      <c r="F389">
        <v>55293</v>
      </c>
      <c r="G389">
        <v>40193</v>
      </c>
      <c r="H389">
        <f t="shared" si="18"/>
        <v>15100</v>
      </c>
      <c r="I389" t="str">
        <f t="shared" si="19"/>
        <v>2023</v>
      </c>
      <c r="J389" t="str">
        <f t="shared" si="20"/>
        <v>08</v>
      </c>
    </row>
    <row r="390" spans="1:10" x14ac:dyDescent="0.3">
      <c r="A390">
        <v>1404</v>
      </c>
      <c r="B390">
        <v>45202</v>
      </c>
      <c r="C390" t="s">
        <v>15</v>
      </c>
      <c r="D390" t="s">
        <v>17</v>
      </c>
      <c r="E390" t="s">
        <v>24</v>
      </c>
      <c r="F390">
        <v>42858</v>
      </c>
      <c r="G390">
        <v>27518</v>
      </c>
      <c r="H390">
        <f t="shared" si="18"/>
        <v>15340</v>
      </c>
      <c r="I390" t="str">
        <f t="shared" si="19"/>
        <v>2023</v>
      </c>
      <c r="J390" t="str">
        <f t="shared" si="20"/>
        <v>10</v>
      </c>
    </row>
    <row r="391" spans="1:10" x14ac:dyDescent="0.3">
      <c r="A391">
        <v>1405</v>
      </c>
      <c r="B391">
        <v>45157</v>
      </c>
      <c r="C391" t="s">
        <v>13</v>
      </c>
      <c r="D391" t="s">
        <v>19</v>
      </c>
      <c r="E391" t="s">
        <v>25</v>
      </c>
      <c r="F391">
        <v>6256</v>
      </c>
      <c r="G391">
        <v>4663</v>
      </c>
      <c r="H391">
        <f t="shared" si="18"/>
        <v>1593</v>
      </c>
      <c r="I391" t="str">
        <f t="shared" si="19"/>
        <v>2023</v>
      </c>
      <c r="J391" t="str">
        <f t="shared" si="20"/>
        <v>08</v>
      </c>
    </row>
    <row r="392" spans="1:10" x14ac:dyDescent="0.3">
      <c r="A392">
        <v>1406</v>
      </c>
      <c r="B392">
        <v>45123</v>
      </c>
      <c r="C392" t="s">
        <v>11</v>
      </c>
      <c r="D392" t="s">
        <v>18</v>
      </c>
      <c r="E392" t="s">
        <v>24</v>
      </c>
      <c r="F392">
        <v>69451</v>
      </c>
      <c r="G392">
        <v>50330</v>
      </c>
      <c r="H392">
        <f t="shared" si="18"/>
        <v>19121</v>
      </c>
      <c r="I392" t="str">
        <f t="shared" si="19"/>
        <v>2023</v>
      </c>
      <c r="J392" t="str">
        <f t="shared" si="20"/>
        <v>07</v>
      </c>
    </row>
    <row r="393" spans="1:10" x14ac:dyDescent="0.3">
      <c r="A393">
        <v>1407</v>
      </c>
      <c r="B393">
        <v>45177</v>
      </c>
      <c r="C393" t="s">
        <v>15</v>
      </c>
      <c r="D393" t="s">
        <v>19</v>
      </c>
      <c r="E393" t="s">
        <v>23</v>
      </c>
      <c r="F393">
        <v>9044</v>
      </c>
      <c r="G393">
        <v>7585</v>
      </c>
      <c r="H393">
        <f t="shared" si="18"/>
        <v>1459</v>
      </c>
      <c r="I393" t="str">
        <f t="shared" si="19"/>
        <v>2023</v>
      </c>
      <c r="J393" t="str">
        <f t="shared" si="20"/>
        <v>09</v>
      </c>
    </row>
    <row r="394" spans="1:10" x14ac:dyDescent="0.3">
      <c r="A394">
        <v>1408</v>
      </c>
      <c r="B394">
        <v>44943</v>
      </c>
      <c r="C394" t="s">
        <v>7</v>
      </c>
      <c r="D394" t="s">
        <v>17</v>
      </c>
      <c r="E394" t="s">
        <v>23</v>
      </c>
      <c r="F394">
        <v>42836</v>
      </c>
      <c r="G394">
        <v>27863</v>
      </c>
      <c r="H394">
        <f t="shared" si="18"/>
        <v>14973</v>
      </c>
      <c r="I394" t="str">
        <f t="shared" si="19"/>
        <v>2023</v>
      </c>
      <c r="J394" t="str">
        <f t="shared" si="20"/>
        <v>01</v>
      </c>
    </row>
    <row r="395" spans="1:10" x14ac:dyDescent="0.3">
      <c r="A395">
        <v>1409</v>
      </c>
      <c r="B395">
        <v>45307</v>
      </c>
      <c r="C395" t="s">
        <v>14</v>
      </c>
      <c r="D395" t="s">
        <v>19</v>
      </c>
      <c r="E395" t="s">
        <v>23</v>
      </c>
      <c r="F395">
        <v>19969</v>
      </c>
      <c r="G395">
        <v>13586</v>
      </c>
      <c r="H395">
        <f t="shared" si="18"/>
        <v>6383</v>
      </c>
      <c r="I395" t="str">
        <f t="shared" si="19"/>
        <v>2024</v>
      </c>
      <c r="J395" t="str">
        <f t="shared" si="20"/>
        <v>01</v>
      </c>
    </row>
    <row r="396" spans="1:10" x14ac:dyDescent="0.3">
      <c r="A396">
        <v>1410</v>
      </c>
      <c r="B396">
        <v>45114</v>
      </c>
      <c r="C396" t="s">
        <v>11</v>
      </c>
      <c r="D396" t="s">
        <v>19</v>
      </c>
      <c r="E396" t="s">
        <v>24</v>
      </c>
      <c r="F396">
        <v>76611</v>
      </c>
      <c r="G396">
        <v>50989</v>
      </c>
      <c r="H396">
        <f t="shared" si="18"/>
        <v>25622</v>
      </c>
      <c r="I396" t="str">
        <f t="shared" si="19"/>
        <v>2023</v>
      </c>
      <c r="J396" t="str">
        <f t="shared" si="20"/>
        <v>07</v>
      </c>
    </row>
    <row r="397" spans="1:10" x14ac:dyDescent="0.3">
      <c r="A397">
        <v>1411</v>
      </c>
      <c r="B397">
        <v>45303</v>
      </c>
      <c r="C397" t="s">
        <v>12</v>
      </c>
      <c r="D397" t="s">
        <v>20</v>
      </c>
      <c r="E397" t="s">
        <v>22</v>
      </c>
      <c r="F397">
        <v>63947</v>
      </c>
      <c r="G397">
        <v>43410</v>
      </c>
      <c r="H397">
        <f t="shared" si="18"/>
        <v>20537</v>
      </c>
      <c r="I397" t="str">
        <f t="shared" si="19"/>
        <v>2024</v>
      </c>
      <c r="J397" t="str">
        <f t="shared" si="20"/>
        <v>01</v>
      </c>
    </row>
    <row r="398" spans="1:10" x14ac:dyDescent="0.3">
      <c r="A398">
        <v>1412</v>
      </c>
      <c r="B398">
        <v>44971</v>
      </c>
      <c r="C398" t="s">
        <v>14</v>
      </c>
      <c r="D398" t="s">
        <v>19</v>
      </c>
      <c r="E398" t="s">
        <v>21</v>
      </c>
      <c r="F398">
        <v>32509</v>
      </c>
      <c r="G398">
        <v>27411</v>
      </c>
      <c r="H398">
        <f t="shared" si="18"/>
        <v>5098</v>
      </c>
      <c r="I398" t="str">
        <f t="shared" si="19"/>
        <v>2023</v>
      </c>
      <c r="J398" t="str">
        <f t="shared" si="20"/>
        <v>02</v>
      </c>
    </row>
    <row r="399" spans="1:10" x14ac:dyDescent="0.3">
      <c r="A399">
        <v>1413</v>
      </c>
      <c r="B399">
        <v>45106</v>
      </c>
      <c r="C399" t="s">
        <v>13</v>
      </c>
      <c r="D399" t="s">
        <v>18</v>
      </c>
      <c r="E399" t="s">
        <v>21</v>
      </c>
      <c r="F399">
        <v>23249</v>
      </c>
      <c r="G399">
        <v>19423</v>
      </c>
      <c r="H399">
        <f t="shared" si="18"/>
        <v>3826</v>
      </c>
      <c r="I399" t="str">
        <f t="shared" si="19"/>
        <v>2023</v>
      </c>
      <c r="J399" t="str">
        <f t="shared" si="20"/>
        <v>06</v>
      </c>
    </row>
    <row r="400" spans="1:10" x14ac:dyDescent="0.3">
      <c r="A400">
        <v>1414</v>
      </c>
      <c r="B400">
        <v>45339</v>
      </c>
      <c r="C400" t="s">
        <v>9</v>
      </c>
      <c r="D400" t="s">
        <v>20</v>
      </c>
      <c r="E400" t="s">
        <v>23</v>
      </c>
      <c r="F400">
        <v>41842</v>
      </c>
      <c r="G400">
        <v>32597</v>
      </c>
      <c r="H400">
        <f t="shared" si="18"/>
        <v>9245</v>
      </c>
      <c r="I400" t="str">
        <f t="shared" si="19"/>
        <v>2024</v>
      </c>
      <c r="J400" t="str">
        <f t="shared" si="20"/>
        <v>02</v>
      </c>
    </row>
    <row r="401" spans="1:10" x14ac:dyDescent="0.3">
      <c r="A401">
        <v>1415</v>
      </c>
      <c r="B401">
        <v>45287</v>
      </c>
      <c r="C401" t="s">
        <v>7</v>
      </c>
      <c r="D401" t="s">
        <v>20</v>
      </c>
      <c r="E401" t="s">
        <v>23</v>
      </c>
      <c r="F401">
        <v>40041</v>
      </c>
      <c r="G401">
        <v>35465</v>
      </c>
      <c r="H401">
        <f t="shared" si="18"/>
        <v>4576</v>
      </c>
      <c r="I401" t="str">
        <f t="shared" si="19"/>
        <v>2023</v>
      </c>
      <c r="J401" t="str">
        <f t="shared" si="20"/>
        <v>12</v>
      </c>
    </row>
    <row r="402" spans="1:10" x14ac:dyDescent="0.3">
      <c r="A402">
        <v>1416</v>
      </c>
      <c r="B402">
        <v>45274</v>
      </c>
      <c r="C402" t="s">
        <v>8</v>
      </c>
      <c r="D402" t="s">
        <v>17</v>
      </c>
      <c r="E402" t="s">
        <v>24</v>
      </c>
      <c r="F402">
        <v>12770</v>
      </c>
      <c r="G402">
        <v>11464</v>
      </c>
      <c r="H402">
        <f t="shared" si="18"/>
        <v>1306</v>
      </c>
      <c r="I402" t="str">
        <f t="shared" si="19"/>
        <v>2023</v>
      </c>
      <c r="J402" t="str">
        <f t="shared" si="20"/>
        <v>12</v>
      </c>
    </row>
    <row r="403" spans="1:10" x14ac:dyDescent="0.3">
      <c r="A403">
        <v>1417</v>
      </c>
      <c r="B403">
        <v>44991</v>
      </c>
      <c r="C403" t="s">
        <v>15</v>
      </c>
      <c r="D403" t="s">
        <v>17</v>
      </c>
      <c r="E403" t="s">
        <v>21</v>
      </c>
      <c r="F403">
        <v>47217</v>
      </c>
      <c r="G403">
        <v>40065</v>
      </c>
      <c r="H403">
        <f t="shared" si="18"/>
        <v>7152</v>
      </c>
      <c r="I403" t="str">
        <f t="shared" si="19"/>
        <v>2023</v>
      </c>
      <c r="J403" t="str">
        <f t="shared" si="20"/>
        <v>03</v>
      </c>
    </row>
    <row r="404" spans="1:10" x14ac:dyDescent="0.3">
      <c r="A404">
        <v>1418</v>
      </c>
      <c r="B404">
        <v>45273</v>
      </c>
      <c r="C404" t="s">
        <v>16</v>
      </c>
      <c r="D404" t="s">
        <v>18</v>
      </c>
      <c r="E404" t="s">
        <v>21</v>
      </c>
      <c r="F404">
        <v>40221</v>
      </c>
      <c r="G404">
        <v>31707</v>
      </c>
      <c r="H404">
        <f t="shared" si="18"/>
        <v>8514</v>
      </c>
      <c r="I404" t="str">
        <f t="shared" si="19"/>
        <v>2023</v>
      </c>
      <c r="J404" t="str">
        <f t="shared" si="20"/>
        <v>12</v>
      </c>
    </row>
    <row r="405" spans="1:10" x14ac:dyDescent="0.3">
      <c r="A405">
        <v>1419</v>
      </c>
      <c r="B405">
        <v>44965</v>
      </c>
      <c r="C405" t="s">
        <v>8</v>
      </c>
      <c r="D405" t="s">
        <v>18</v>
      </c>
      <c r="E405" t="s">
        <v>23</v>
      </c>
      <c r="F405">
        <v>41467</v>
      </c>
      <c r="G405">
        <v>33522</v>
      </c>
      <c r="H405">
        <f t="shared" si="18"/>
        <v>7945</v>
      </c>
      <c r="I405" t="str">
        <f t="shared" si="19"/>
        <v>2023</v>
      </c>
      <c r="J405" t="str">
        <f t="shared" si="20"/>
        <v>02</v>
      </c>
    </row>
    <row r="406" spans="1:10" x14ac:dyDescent="0.3">
      <c r="A406">
        <v>1420</v>
      </c>
      <c r="B406">
        <v>45159</v>
      </c>
      <c r="C406" t="s">
        <v>14</v>
      </c>
      <c r="D406" t="s">
        <v>20</v>
      </c>
      <c r="E406" t="s">
        <v>23</v>
      </c>
      <c r="F406">
        <v>5324</v>
      </c>
      <c r="G406">
        <v>4582</v>
      </c>
      <c r="H406">
        <f t="shared" si="18"/>
        <v>742</v>
      </c>
      <c r="I406" t="str">
        <f t="shared" si="19"/>
        <v>2023</v>
      </c>
      <c r="J406" t="str">
        <f t="shared" si="20"/>
        <v>08</v>
      </c>
    </row>
    <row r="407" spans="1:10" x14ac:dyDescent="0.3">
      <c r="A407">
        <v>1421</v>
      </c>
      <c r="B407">
        <v>44974</v>
      </c>
      <c r="C407" t="s">
        <v>14</v>
      </c>
      <c r="D407" t="s">
        <v>20</v>
      </c>
      <c r="E407" t="s">
        <v>22</v>
      </c>
      <c r="F407">
        <v>75048</v>
      </c>
      <c r="G407">
        <v>53983</v>
      </c>
      <c r="H407">
        <f t="shared" si="18"/>
        <v>21065</v>
      </c>
      <c r="I407" t="str">
        <f t="shared" si="19"/>
        <v>2023</v>
      </c>
      <c r="J407" t="str">
        <f t="shared" si="20"/>
        <v>02</v>
      </c>
    </row>
    <row r="408" spans="1:10" x14ac:dyDescent="0.3">
      <c r="A408">
        <v>1422</v>
      </c>
      <c r="B408">
        <v>45349</v>
      </c>
      <c r="C408" t="s">
        <v>12</v>
      </c>
      <c r="D408" t="s">
        <v>18</v>
      </c>
      <c r="E408" t="s">
        <v>25</v>
      </c>
      <c r="F408">
        <v>47318</v>
      </c>
      <c r="G408">
        <v>40149</v>
      </c>
      <c r="H408">
        <f t="shared" si="18"/>
        <v>7169</v>
      </c>
      <c r="I408" t="str">
        <f t="shared" si="19"/>
        <v>2024</v>
      </c>
      <c r="J408" t="str">
        <f t="shared" si="20"/>
        <v>02</v>
      </c>
    </row>
    <row r="409" spans="1:10" x14ac:dyDescent="0.3">
      <c r="A409">
        <v>1423</v>
      </c>
      <c r="B409">
        <v>45222</v>
      </c>
      <c r="C409" t="s">
        <v>15</v>
      </c>
      <c r="D409" t="s">
        <v>18</v>
      </c>
      <c r="E409" t="s">
        <v>25</v>
      </c>
      <c r="F409">
        <v>11345</v>
      </c>
      <c r="G409">
        <v>6963</v>
      </c>
      <c r="H409">
        <f t="shared" si="18"/>
        <v>4382</v>
      </c>
      <c r="I409" t="str">
        <f t="shared" si="19"/>
        <v>2023</v>
      </c>
      <c r="J409" t="str">
        <f t="shared" si="20"/>
        <v>10</v>
      </c>
    </row>
    <row r="410" spans="1:10" x14ac:dyDescent="0.3">
      <c r="A410">
        <v>1424</v>
      </c>
      <c r="B410">
        <v>45355</v>
      </c>
      <c r="C410" t="s">
        <v>14</v>
      </c>
      <c r="D410" t="s">
        <v>19</v>
      </c>
      <c r="E410" t="s">
        <v>22</v>
      </c>
      <c r="F410">
        <v>25707</v>
      </c>
      <c r="G410">
        <v>18827</v>
      </c>
      <c r="H410">
        <f t="shared" si="18"/>
        <v>6880</v>
      </c>
      <c r="I410" t="str">
        <f t="shared" si="19"/>
        <v>2024</v>
      </c>
      <c r="J410" t="str">
        <f t="shared" si="20"/>
        <v>03</v>
      </c>
    </row>
    <row r="411" spans="1:10" x14ac:dyDescent="0.3">
      <c r="A411">
        <v>1426</v>
      </c>
      <c r="B411">
        <v>45067</v>
      </c>
      <c r="C411" t="s">
        <v>8</v>
      </c>
      <c r="D411" t="s">
        <v>20</v>
      </c>
      <c r="E411" t="s">
        <v>25</v>
      </c>
      <c r="F411">
        <v>15803</v>
      </c>
      <c r="G411">
        <v>11244</v>
      </c>
      <c r="H411">
        <f t="shared" si="18"/>
        <v>4559</v>
      </c>
      <c r="I411" t="str">
        <f t="shared" si="19"/>
        <v>2023</v>
      </c>
      <c r="J411" t="str">
        <f t="shared" si="20"/>
        <v>05</v>
      </c>
    </row>
    <row r="412" spans="1:10" x14ac:dyDescent="0.3">
      <c r="A412">
        <v>1427</v>
      </c>
      <c r="B412">
        <v>45011</v>
      </c>
      <c r="C412" t="s">
        <v>9</v>
      </c>
      <c r="D412" t="s">
        <v>18</v>
      </c>
      <c r="E412" t="s">
        <v>25</v>
      </c>
      <c r="F412">
        <v>35689</v>
      </c>
      <c r="G412">
        <v>26009</v>
      </c>
      <c r="H412">
        <f t="shared" si="18"/>
        <v>9680</v>
      </c>
      <c r="I412" t="str">
        <f t="shared" si="19"/>
        <v>2023</v>
      </c>
      <c r="J412" t="str">
        <f t="shared" si="20"/>
        <v>03</v>
      </c>
    </row>
    <row r="413" spans="1:10" x14ac:dyDescent="0.3">
      <c r="A413">
        <v>1428</v>
      </c>
      <c r="B413">
        <v>44975</v>
      </c>
      <c r="C413" t="s">
        <v>9</v>
      </c>
      <c r="D413" t="s">
        <v>17</v>
      </c>
      <c r="E413" t="s">
        <v>24</v>
      </c>
      <c r="F413">
        <v>15215</v>
      </c>
      <c r="G413">
        <v>9734</v>
      </c>
      <c r="H413">
        <f t="shared" si="18"/>
        <v>5481</v>
      </c>
      <c r="I413" t="str">
        <f t="shared" si="19"/>
        <v>2023</v>
      </c>
      <c r="J413" t="str">
        <f t="shared" si="20"/>
        <v>02</v>
      </c>
    </row>
    <row r="414" spans="1:10" x14ac:dyDescent="0.3">
      <c r="A414">
        <v>1429</v>
      </c>
      <c r="B414">
        <v>45275</v>
      </c>
      <c r="C414" t="s">
        <v>14</v>
      </c>
      <c r="D414" t="s">
        <v>19</v>
      </c>
      <c r="E414" t="s">
        <v>22</v>
      </c>
      <c r="F414">
        <v>50032</v>
      </c>
      <c r="G414">
        <v>42283</v>
      </c>
      <c r="H414">
        <f t="shared" si="18"/>
        <v>7749</v>
      </c>
      <c r="I414" t="str">
        <f t="shared" si="19"/>
        <v>2023</v>
      </c>
      <c r="J414" t="str">
        <f t="shared" si="20"/>
        <v>12</v>
      </c>
    </row>
    <row r="415" spans="1:10" x14ac:dyDescent="0.3">
      <c r="A415">
        <v>1430</v>
      </c>
      <c r="B415">
        <v>45143</v>
      </c>
      <c r="C415" t="s">
        <v>15</v>
      </c>
      <c r="D415" t="s">
        <v>18</v>
      </c>
      <c r="E415" t="s">
        <v>22</v>
      </c>
      <c r="F415">
        <v>35008</v>
      </c>
      <c r="G415">
        <v>25027</v>
      </c>
      <c r="H415">
        <f t="shared" si="18"/>
        <v>9981</v>
      </c>
      <c r="I415" t="str">
        <f t="shared" si="19"/>
        <v>2023</v>
      </c>
      <c r="J415" t="str">
        <f t="shared" si="20"/>
        <v>08</v>
      </c>
    </row>
    <row r="416" spans="1:10" x14ac:dyDescent="0.3">
      <c r="A416">
        <v>1431</v>
      </c>
      <c r="B416">
        <v>44979</v>
      </c>
      <c r="C416" t="s">
        <v>8</v>
      </c>
      <c r="D416" t="s">
        <v>20</v>
      </c>
      <c r="E416" t="s">
        <v>25</v>
      </c>
      <c r="F416">
        <v>44223</v>
      </c>
      <c r="G416">
        <v>28353</v>
      </c>
      <c r="H416">
        <f t="shared" si="18"/>
        <v>15870</v>
      </c>
      <c r="I416" t="str">
        <f t="shared" si="19"/>
        <v>2023</v>
      </c>
      <c r="J416" t="str">
        <f t="shared" si="20"/>
        <v>02</v>
      </c>
    </row>
    <row r="417" spans="1:10" x14ac:dyDescent="0.3">
      <c r="A417">
        <v>1432</v>
      </c>
      <c r="B417">
        <v>45312</v>
      </c>
      <c r="C417" t="s">
        <v>15</v>
      </c>
      <c r="D417" t="s">
        <v>17</v>
      </c>
      <c r="E417" t="s">
        <v>22</v>
      </c>
      <c r="F417">
        <v>74534</v>
      </c>
      <c r="G417">
        <v>57315</v>
      </c>
      <c r="H417">
        <f t="shared" si="18"/>
        <v>17219</v>
      </c>
      <c r="I417" t="str">
        <f t="shared" si="19"/>
        <v>2024</v>
      </c>
      <c r="J417" t="str">
        <f t="shared" si="20"/>
        <v>01</v>
      </c>
    </row>
    <row r="418" spans="1:10" x14ac:dyDescent="0.3">
      <c r="A418">
        <v>1433</v>
      </c>
      <c r="B418">
        <v>45011</v>
      </c>
      <c r="C418" t="s">
        <v>14</v>
      </c>
      <c r="D418" t="s">
        <v>20</v>
      </c>
      <c r="E418" t="s">
        <v>21</v>
      </c>
      <c r="F418">
        <v>24840</v>
      </c>
      <c r="G418">
        <v>21759</v>
      </c>
      <c r="H418">
        <f t="shared" si="18"/>
        <v>3081</v>
      </c>
      <c r="I418" t="str">
        <f t="shared" si="19"/>
        <v>2023</v>
      </c>
      <c r="J418" t="str">
        <f t="shared" si="20"/>
        <v>03</v>
      </c>
    </row>
    <row r="419" spans="1:10" x14ac:dyDescent="0.3">
      <c r="A419">
        <v>1434</v>
      </c>
      <c r="B419">
        <v>45153</v>
      </c>
      <c r="C419" t="s">
        <v>12</v>
      </c>
      <c r="D419" t="s">
        <v>19</v>
      </c>
      <c r="E419" t="s">
        <v>22</v>
      </c>
      <c r="F419">
        <v>23351</v>
      </c>
      <c r="G419">
        <v>19281</v>
      </c>
      <c r="H419">
        <f t="shared" si="18"/>
        <v>4070</v>
      </c>
      <c r="I419" t="str">
        <f t="shared" si="19"/>
        <v>2023</v>
      </c>
      <c r="J419" t="str">
        <f t="shared" si="20"/>
        <v>08</v>
      </c>
    </row>
    <row r="420" spans="1:10" x14ac:dyDescent="0.3">
      <c r="A420">
        <v>1435</v>
      </c>
      <c r="B420">
        <v>45123</v>
      </c>
      <c r="C420" t="s">
        <v>10</v>
      </c>
      <c r="D420" t="s">
        <v>18</v>
      </c>
      <c r="E420" t="s">
        <v>25</v>
      </c>
      <c r="F420">
        <v>23327</v>
      </c>
      <c r="G420">
        <v>15730</v>
      </c>
      <c r="H420">
        <f t="shared" si="18"/>
        <v>7597</v>
      </c>
      <c r="I420" t="str">
        <f t="shared" si="19"/>
        <v>2023</v>
      </c>
      <c r="J420" t="str">
        <f t="shared" si="20"/>
        <v>07</v>
      </c>
    </row>
    <row r="421" spans="1:10" x14ac:dyDescent="0.3">
      <c r="A421">
        <v>1436</v>
      </c>
      <c r="B421">
        <v>45054</v>
      </c>
      <c r="C421" t="s">
        <v>11</v>
      </c>
      <c r="D421" t="s">
        <v>20</v>
      </c>
      <c r="E421" t="s">
        <v>22</v>
      </c>
      <c r="F421">
        <v>44537</v>
      </c>
      <c r="G421">
        <v>29467</v>
      </c>
      <c r="H421">
        <f t="shared" si="18"/>
        <v>15070</v>
      </c>
      <c r="I421" t="str">
        <f t="shared" si="19"/>
        <v>2023</v>
      </c>
      <c r="J421" t="str">
        <f t="shared" si="20"/>
        <v>05</v>
      </c>
    </row>
    <row r="422" spans="1:10" x14ac:dyDescent="0.3">
      <c r="A422">
        <v>1437</v>
      </c>
      <c r="B422">
        <v>45023</v>
      </c>
      <c r="C422" t="s">
        <v>16</v>
      </c>
      <c r="D422" t="s">
        <v>20</v>
      </c>
      <c r="E422" t="s">
        <v>22</v>
      </c>
      <c r="F422">
        <v>36370</v>
      </c>
      <c r="G422">
        <v>27221</v>
      </c>
      <c r="H422">
        <f t="shared" si="18"/>
        <v>9149</v>
      </c>
      <c r="I422" t="str">
        <f t="shared" si="19"/>
        <v>2023</v>
      </c>
      <c r="J422" t="str">
        <f t="shared" si="20"/>
        <v>04</v>
      </c>
    </row>
    <row r="423" spans="1:10" x14ac:dyDescent="0.3">
      <c r="A423">
        <v>1438</v>
      </c>
      <c r="B423">
        <v>45182</v>
      </c>
      <c r="C423" t="s">
        <v>13</v>
      </c>
      <c r="D423" t="s">
        <v>19</v>
      </c>
      <c r="E423" t="s">
        <v>23</v>
      </c>
      <c r="F423">
        <v>6581</v>
      </c>
      <c r="G423">
        <v>5897</v>
      </c>
      <c r="H423">
        <f t="shared" si="18"/>
        <v>684</v>
      </c>
      <c r="I423" t="str">
        <f t="shared" si="19"/>
        <v>2023</v>
      </c>
      <c r="J423" t="str">
        <f t="shared" si="20"/>
        <v>09</v>
      </c>
    </row>
    <row r="424" spans="1:10" x14ac:dyDescent="0.3">
      <c r="A424">
        <v>1439</v>
      </c>
      <c r="B424">
        <v>44994</v>
      </c>
      <c r="C424" t="s">
        <v>16</v>
      </c>
      <c r="D424" t="s">
        <v>18</v>
      </c>
      <c r="E424" t="s">
        <v>25</v>
      </c>
      <c r="F424">
        <v>76612</v>
      </c>
      <c r="G424">
        <v>61663</v>
      </c>
      <c r="H424">
        <f t="shared" si="18"/>
        <v>14949</v>
      </c>
      <c r="I424" t="str">
        <f t="shared" si="19"/>
        <v>2023</v>
      </c>
      <c r="J424" t="str">
        <f t="shared" si="20"/>
        <v>03</v>
      </c>
    </row>
    <row r="425" spans="1:10" x14ac:dyDescent="0.3">
      <c r="A425">
        <v>1440</v>
      </c>
      <c r="B425">
        <v>45321</v>
      </c>
      <c r="C425" t="s">
        <v>8</v>
      </c>
      <c r="D425" t="s">
        <v>19</v>
      </c>
      <c r="E425" t="s">
        <v>23</v>
      </c>
      <c r="F425">
        <v>13851</v>
      </c>
      <c r="G425">
        <v>8367</v>
      </c>
      <c r="H425">
        <f t="shared" si="18"/>
        <v>5484</v>
      </c>
      <c r="I425" t="str">
        <f t="shared" si="19"/>
        <v>2024</v>
      </c>
      <c r="J425" t="str">
        <f t="shared" si="20"/>
        <v>01</v>
      </c>
    </row>
    <row r="426" spans="1:10" x14ac:dyDescent="0.3">
      <c r="A426">
        <v>1441</v>
      </c>
      <c r="B426">
        <v>44957</v>
      </c>
      <c r="C426" t="s">
        <v>16</v>
      </c>
      <c r="D426" t="s">
        <v>20</v>
      </c>
      <c r="E426" t="s">
        <v>23</v>
      </c>
      <c r="F426">
        <v>59451</v>
      </c>
      <c r="G426">
        <v>43225</v>
      </c>
      <c r="H426">
        <f t="shared" si="18"/>
        <v>16226</v>
      </c>
      <c r="I426" t="str">
        <f t="shared" si="19"/>
        <v>2023</v>
      </c>
      <c r="J426" t="str">
        <f t="shared" si="20"/>
        <v>01</v>
      </c>
    </row>
    <row r="427" spans="1:10" x14ac:dyDescent="0.3">
      <c r="A427">
        <v>1442</v>
      </c>
      <c r="B427">
        <v>45254</v>
      </c>
      <c r="C427" t="s">
        <v>11</v>
      </c>
      <c r="D427" t="s">
        <v>17</v>
      </c>
      <c r="E427" t="s">
        <v>25</v>
      </c>
      <c r="F427">
        <v>15957</v>
      </c>
      <c r="G427">
        <v>11057</v>
      </c>
      <c r="H427">
        <f t="shared" si="18"/>
        <v>4900</v>
      </c>
      <c r="I427" t="str">
        <f t="shared" si="19"/>
        <v>2023</v>
      </c>
      <c r="J427" t="str">
        <f t="shared" si="20"/>
        <v>11</v>
      </c>
    </row>
    <row r="428" spans="1:10" x14ac:dyDescent="0.3">
      <c r="A428">
        <v>1443</v>
      </c>
      <c r="B428">
        <v>45031</v>
      </c>
      <c r="C428" t="s">
        <v>15</v>
      </c>
      <c r="D428" t="s">
        <v>20</v>
      </c>
      <c r="E428" t="s">
        <v>24</v>
      </c>
      <c r="F428">
        <v>13665</v>
      </c>
      <c r="G428">
        <v>9470</v>
      </c>
      <c r="H428">
        <f t="shared" si="18"/>
        <v>4195</v>
      </c>
      <c r="I428" t="str">
        <f t="shared" si="19"/>
        <v>2023</v>
      </c>
      <c r="J428" t="str">
        <f t="shared" si="20"/>
        <v>04</v>
      </c>
    </row>
    <row r="429" spans="1:10" x14ac:dyDescent="0.3">
      <c r="A429">
        <v>1444</v>
      </c>
      <c r="B429">
        <v>45360</v>
      </c>
      <c r="C429" t="s">
        <v>12</v>
      </c>
      <c r="D429" t="s">
        <v>19</v>
      </c>
      <c r="E429" t="s">
        <v>21</v>
      </c>
      <c r="F429">
        <v>16300</v>
      </c>
      <c r="G429">
        <v>14301</v>
      </c>
      <c r="H429">
        <f t="shared" si="18"/>
        <v>1999</v>
      </c>
      <c r="I429" t="str">
        <f t="shared" si="19"/>
        <v>2024</v>
      </c>
      <c r="J429" t="str">
        <f t="shared" si="20"/>
        <v>03</v>
      </c>
    </row>
    <row r="430" spans="1:10" x14ac:dyDescent="0.3">
      <c r="A430">
        <v>1445</v>
      </c>
      <c r="B430">
        <v>45240</v>
      </c>
      <c r="C430" t="s">
        <v>13</v>
      </c>
      <c r="D430" t="s">
        <v>19</v>
      </c>
      <c r="E430" t="s">
        <v>25</v>
      </c>
      <c r="F430">
        <v>28022</v>
      </c>
      <c r="G430">
        <v>17817</v>
      </c>
      <c r="H430">
        <f t="shared" si="18"/>
        <v>10205</v>
      </c>
      <c r="I430" t="str">
        <f t="shared" si="19"/>
        <v>2023</v>
      </c>
      <c r="J430" t="str">
        <f t="shared" si="20"/>
        <v>11</v>
      </c>
    </row>
    <row r="431" spans="1:10" x14ac:dyDescent="0.3">
      <c r="A431">
        <v>1446</v>
      </c>
      <c r="B431">
        <v>45286</v>
      </c>
      <c r="C431" t="s">
        <v>9</v>
      </c>
      <c r="D431" t="s">
        <v>17</v>
      </c>
      <c r="E431" t="s">
        <v>24</v>
      </c>
      <c r="F431">
        <v>50443</v>
      </c>
      <c r="G431">
        <v>38180</v>
      </c>
      <c r="H431">
        <f t="shared" si="18"/>
        <v>12263</v>
      </c>
      <c r="I431" t="str">
        <f t="shared" si="19"/>
        <v>2023</v>
      </c>
      <c r="J431" t="str">
        <f t="shared" si="20"/>
        <v>12</v>
      </c>
    </row>
    <row r="432" spans="1:10" x14ac:dyDescent="0.3">
      <c r="A432">
        <v>1447</v>
      </c>
      <c r="B432">
        <v>45296</v>
      </c>
      <c r="C432" t="s">
        <v>7</v>
      </c>
      <c r="D432" t="s">
        <v>17</v>
      </c>
      <c r="E432" t="s">
        <v>25</v>
      </c>
      <c r="F432">
        <v>21637</v>
      </c>
      <c r="G432">
        <v>17849</v>
      </c>
      <c r="H432">
        <f t="shared" si="18"/>
        <v>3788</v>
      </c>
      <c r="I432" t="str">
        <f t="shared" si="19"/>
        <v>2024</v>
      </c>
      <c r="J432" t="str">
        <f t="shared" si="20"/>
        <v>01</v>
      </c>
    </row>
    <row r="433" spans="1:10" x14ac:dyDescent="0.3">
      <c r="A433">
        <v>1448</v>
      </c>
      <c r="B433">
        <v>45302</v>
      </c>
      <c r="C433" t="s">
        <v>8</v>
      </c>
      <c r="D433" t="s">
        <v>19</v>
      </c>
      <c r="E433" t="s">
        <v>25</v>
      </c>
      <c r="F433">
        <v>61272</v>
      </c>
      <c r="G433">
        <v>41762</v>
      </c>
      <c r="H433">
        <f t="shared" si="18"/>
        <v>19510</v>
      </c>
      <c r="I433" t="str">
        <f t="shared" si="19"/>
        <v>2024</v>
      </c>
      <c r="J433" t="str">
        <f t="shared" si="20"/>
        <v>01</v>
      </c>
    </row>
    <row r="434" spans="1:10" x14ac:dyDescent="0.3">
      <c r="A434">
        <v>1449</v>
      </c>
      <c r="B434">
        <v>45291</v>
      </c>
      <c r="C434" t="s">
        <v>13</v>
      </c>
      <c r="D434" t="s">
        <v>19</v>
      </c>
      <c r="E434" t="s">
        <v>24</v>
      </c>
      <c r="F434">
        <v>64663</v>
      </c>
      <c r="G434">
        <v>48706</v>
      </c>
      <c r="H434">
        <f t="shared" si="18"/>
        <v>15957</v>
      </c>
      <c r="I434" t="str">
        <f t="shared" si="19"/>
        <v>2023</v>
      </c>
      <c r="J434" t="str">
        <f t="shared" si="20"/>
        <v>12</v>
      </c>
    </row>
    <row r="435" spans="1:10" x14ac:dyDescent="0.3">
      <c r="A435">
        <v>1450</v>
      </c>
      <c r="B435">
        <v>45366</v>
      </c>
      <c r="C435" t="s">
        <v>13</v>
      </c>
      <c r="D435" t="s">
        <v>17</v>
      </c>
      <c r="E435" t="s">
        <v>25</v>
      </c>
      <c r="F435">
        <v>25618</v>
      </c>
      <c r="G435">
        <v>17331</v>
      </c>
      <c r="H435">
        <f t="shared" si="18"/>
        <v>8287</v>
      </c>
      <c r="I435" t="str">
        <f t="shared" si="19"/>
        <v>2024</v>
      </c>
      <c r="J435" t="str">
        <f t="shared" si="20"/>
        <v>03</v>
      </c>
    </row>
    <row r="436" spans="1:10" x14ac:dyDescent="0.3">
      <c r="A436">
        <v>1451</v>
      </c>
      <c r="B436">
        <v>45220</v>
      </c>
      <c r="C436" t="s">
        <v>8</v>
      </c>
      <c r="D436" t="s">
        <v>17</v>
      </c>
      <c r="E436" t="s">
        <v>23</v>
      </c>
      <c r="F436">
        <v>5336</v>
      </c>
      <c r="G436">
        <v>3272</v>
      </c>
      <c r="H436">
        <f t="shared" si="18"/>
        <v>2064</v>
      </c>
      <c r="I436" t="str">
        <f t="shared" si="19"/>
        <v>2023</v>
      </c>
      <c r="J436" t="str">
        <f t="shared" si="20"/>
        <v>10</v>
      </c>
    </row>
    <row r="437" spans="1:10" x14ac:dyDescent="0.3">
      <c r="A437">
        <v>1452</v>
      </c>
      <c r="B437">
        <v>45052</v>
      </c>
      <c r="C437" t="s">
        <v>9</v>
      </c>
      <c r="D437" t="s">
        <v>18</v>
      </c>
      <c r="E437" t="s">
        <v>25</v>
      </c>
      <c r="F437">
        <v>55197</v>
      </c>
      <c r="G437">
        <v>48356</v>
      </c>
      <c r="H437">
        <f t="shared" si="18"/>
        <v>6841</v>
      </c>
      <c r="I437" t="str">
        <f t="shared" si="19"/>
        <v>2023</v>
      </c>
      <c r="J437" t="str">
        <f t="shared" si="20"/>
        <v>05</v>
      </c>
    </row>
    <row r="438" spans="1:10" x14ac:dyDescent="0.3">
      <c r="A438">
        <v>1453</v>
      </c>
      <c r="B438">
        <v>45366</v>
      </c>
      <c r="C438" t="s">
        <v>9</v>
      </c>
      <c r="D438" t="s">
        <v>18</v>
      </c>
      <c r="E438" t="s">
        <v>21</v>
      </c>
      <c r="F438">
        <v>47179</v>
      </c>
      <c r="G438">
        <v>31821</v>
      </c>
      <c r="H438">
        <f t="shared" si="18"/>
        <v>15358</v>
      </c>
      <c r="I438" t="str">
        <f t="shared" si="19"/>
        <v>2024</v>
      </c>
      <c r="J438" t="str">
        <f t="shared" si="20"/>
        <v>03</v>
      </c>
    </row>
    <row r="439" spans="1:10" x14ac:dyDescent="0.3">
      <c r="A439">
        <v>1454</v>
      </c>
      <c r="B439">
        <v>45090</v>
      </c>
      <c r="C439" t="s">
        <v>7</v>
      </c>
      <c r="D439" t="s">
        <v>19</v>
      </c>
      <c r="E439" t="s">
        <v>23</v>
      </c>
      <c r="F439">
        <v>53864</v>
      </c>
      <c r="G439">
        <v>34247</v>
      </c>
      <c r="H439">
        <f t="shared" si="18"/>
        <v>19617</v>
      </c>
      <c r="I439" t="str">
        <f t="shared" si="19"/>
        <v>2023</v>
      </c>
      <c r="J439" t="str">
        <f t="shared" si="20"/>
        <v>06</v>
      </c>
    </row>
    <row r="440" spans="1:10" x14ac:dyDescent="0.3">
      <c r="A440">
        <v>1455</v>
      </c>
      <c r="B440">
        <v>44953</v>
      </c>
      <c r="C440" t="s">
        <v>15</v>
      </c>
      <c r="D440" t="s">
        <v>17</v>
      </c>
      <c r="E440" t="s">
        <v>23</v>
      </c>
      <c r="F440">
        <v>11019</v>
      </c>
      <c r="G440">
        <v>9765</v>
      </c>
      <c r="H440">
        <f t="shared" si="18"/>
        <v>1254</v>
      </c>
      <c r="I440" t="str">
        <f t="shared" si="19"/>
        <v>2023</v>
      </c>
      <c r="J440" t="str">
        <f t="shared" si="20"/>
        <v>01</v>
      </c>
    </row>
    <row r="441" spans="1:10" x14ac:dyDescent="0.3">
      <c r="A441">
        <v>1456</v>
      </c>
      <c r="B441">
        <v>45165</v>
      </c>
      <c r="C441" t="s">
        <v>7</v>
      </c>
      <c r="D441" t="s">
        <v>20</v>
      </c>
      <c r="E441" t="s">
        <v>25</v>
      </c>
      <c r="F441">
        <v>16322</v>
      </c>
      <c r="G441">
        <v>12501</v>
      </c>
      <c r="H441">
        <f t="shared" si="18"/>
        <v>3821</v>
      </c>
      <c r="I441" t="str">
        <f t="shared" si="19"/>
        <v>2023</v>
      </c>
      <c r="J441" t="str">
        <f t="shared" si="20"/>
        <v>08</v>
      </c>
    </row>
    <row r="442" spans="1:10" x14ac:dyDescent="0.3">
      <c r="A442">
        <v>1458</v>
      </c>
      <c r="B442">
        <v>45115</v>
      </c>
      <c r="C442" t="s">
        <v>13</v>
      </c>
      <c r="D442" t="s">
        <v>18</v>
      </c>
      <c r="E442" t="s">
        <v>21</v>
      </c>
      <c r="F442">
        <v>76638</v>
      </c>
      <c r="G442">
        <v>63467</v>
      </c>
      <c r="H442">
        <f t="shared" si="18"/>
        <v>13171</v>
      </c>
      <c r="I442" t="str">
        <f t="shared" si="19"/>
        <v>2023</v>
      </c>
      <c r="J442" t="str">
        <f t="shared" si="20"/>
        <v>07</v>
      </c>
    </row>
    <row r="443" spans="1:10" x14ac:dyDescent="0.3">
      <c r="A443">
        <v>1459</v>
      </c>
      <c r="B443">
        <v>44930</v>
      </c>
      <c r="C443" t="s">
        <v>16</v>
      </c>
      <c r="D443" t="s">
        <v>19</v>
      </c>
      <c r="E443" t="s">
        <v>21</v>
      </c>
      <c r="F443">
        <v>75981</v>
      </c>
      <c r="G443">
        <v>53485</v>
      </c>
      <c r="H443">
        <f t="shared" si="18"/>
        <v>22496</v>
      </c>
      <c r="I443" t="str">
        <f t="shared" si="19"/>
        <v>2023</v>
      </c>
      <c r="J443" t="str">
        <f t="shared" si="20"/>
        <v>01</v>
      </c>
    </row>
    <row r="444" spans="1:10" x14ac:dyDescent="0.3">
      <c r="A444">
        <v>1460</v>
      </c>
      <c r="B444">
        <v>45376</v>
      </c>
      <c r="C444" t="s">
        <v>9</v>
      </c>
      <c r="D444" t="s">
        <v>20</v>
      </c>
      <c r="E444" t="s">
        <v>22</v>
      </c>
      <c r="F444">
        <v>54319</v>
      </c>
      <c r="G444">
        <v>46426</v>
      </c>
      <c r="H444">
        <f t="shared" si="18"/>
        <v>7893</v>
      </c>
      <c r="I444" t="str">
        <f t="shared" si="19"/>
        <v>2024</v>
      </c>
      <c r="J444" t="str">
        <f t="shared" si="20"/>
        <v>03</v>
      </c>
    </row>
    <row r="445" spans="1:10" x14ac:dyDescent="0.3">
      <c r="A445">
        <v>1461</v>
      </c>
      <c r="B445">
        <v>44980</v>
      </c>
      <c r="C445" t="s">
        <v>12</v>
      </c>
      <c r="D445" t="s">
        <v>17</v>
      </c>
      <c r="E445" t="s">
        <v>24</v>
      </c>
      <c r="F445">
        <v>69491</v>
      </c>
      <c r="G445">
        <v>61732</v>
      </c>
      <c r="H445">
        <f t="shared" si="18"/>
        <v>7759</v>
      </c>
      <c r="I445" t="str">
        <f t="shared" si="19"/>
        <v>2023</v>
      </c>
      <c r="J445" t="str">
        <f t="shared" si="20"/>
        <v>02</v>
      </c>
    </row>
    <row r="446" spans="1:10" x14ac:dyDescent="0.3">
      <c r="A446">
        <v>1462</v>
      </c>
      <c r="B446">
        <v>44999</v>
      </c>
      <c r="C446" t="s">
        <v>7</v>
      </c>
      <c r="D446" t="s">
        <v>19</v>
      </c>
      <c r="E446" t="s">
        <v>22</v>
      </c>
      <c r="F446">
        <v>35339</v>
      </c>
      <c r="G446">
        <v>30716</v>
      </c>
      <c r="H446">
        <f t="shared" si="18"/>
        <v>4623</v>
      </c>
      <c r="I446" t="str">
        <f t="shared" si="19"/>
        <v>2023</v>
      </c>
      <c r="J446" t="str">
        <f t="shared" si="20"/>
        <v>03</v>
      </c>
    </row>
    <row r="447" spans="1:10" x14ac:dyDescent="0.3">
      <c r="A447">
        <v>1463</v>
      </c>
      <c r="B447">
        <v>45285</v>
      </c>
      <c r="C447" t="s">
        <v>10</v>
      </c>
      <c r="D447" t="s">
        <v>18</v>
      </c>
      <c r="E447" t="s">
        <v>22</v>
      </c>
      <c r="F447">
        <v>17527</v>
      </c>
      <c r="G447">
        <v>13173</v>
      </c>
      <c r="H447">
        <f t="shared" si="18"/>
        <v>4354</v>
      </c>
      <c r="I447" t="str">
        <f t="shared" si="19"/>
        <v>2023</v>
      </c>
      <c r="J447" t="str">
        <f t="shared" si="20"/>
        <v>12</v>
      </c>
    </row>
    <row r="448" spans="1:10" x14ac:dyDescent="0.3">
      <c r="A448">
        <v>1464</v>
      </c>
      <c r="B448">
        <v>45128</v>
      </c>
      <c r="C448" t="s">
        <v>8</v>
      </c>
      <c r="D448" t="s">
        <v>19</v>
      </c>
      <c r="E448" t="s">
        <v>24</v>
      </c>
      <c r="F448">
        <v>22132</v>
      </c>
      <c r="G448">
        <v>14851</v>
      </c>
      <c r="H448">
        <f t="shared" si="18"/>
        <v>7281</v>
      </c>
      <c r="I448" t="str">
        <f t="shared" si="19"/>
        <v>2023</v>
      </c>
      <c r="J448" t="str">
        <f t="shared" si="20"/>
        <v>07</v>
      </c>
    </row>
    <row r="449" spans="1:10" x14ac:dyDescent="0.3">
      <c r="A449">
        <v>1465</v>
      </c>
      <c r="B449">
        <v>45088</v>
      </c>
      <c r="C449" t="s">
        <v>16</v>
      </c>
      <c r="D449" t="s">
        <v>20</v>
      </c>
      <c r="E449" t="s">
        <v>25</v>
      </c>
      <c r="F449">
        <v>64343</v>
      </c>
      <c r="G449">
        <v>43855</v>
      </c>
      <c r="H449">
        <f t="shared" si="18"/>
        <v>20488</v>
      </c>
      <c r="I449" t="str">
        <f t="shared" si="19"/>
        <v>2023</v>
      </c>
      <c r="J449" t="str">
        <f t="shared" si="20"/>
        <v>06</v>
      </c>
    </row>
    <row r="450" spans="1:10" x14ac:dyDescent="0.3">
      <c r="A450">
        <v>1466</v>
      </c>
      <c r="B450">
        <v>45030</v>
      </c>
      <c r="C450" t="s">
        <v>15</v>
      </c>
      <c r="D450" t="s">
        <v>19</v>
      </c>
      <c r="E450" t="s">
        <v>21</v>
      </c>
      <c r="F450">
        <v>18848</v>
      </c>
      <c r="G450">
        <v>12238</v>
      </c>
      <c r="H450">
        <f t="shared" ref="H450:H513" si="21">F450-G450</f>
        <v>6610</v>
      </c>
      <c r="I450" t="str">
        <f t="shared" ref="I450:I483" si="22">TEXT(B450,"yyyy")</f>
        <v>2023</v>
      </c>
      <c r="J450" t="str">
        <f t="shared" ref="J450:J483" si="23">TEXT(B450,"mm")</f>
        <v>04</v>
      </c>
    </row>
    <row r="451" spans="1:10" x14ac:dyDescent="0.3">
      <c r="A451">
        <v>1467</v>
      </c>
      <c r="B451">
        <v>45135</v>
      </c>
      <c r="C451" t="s">
        <v>8</v>
      </c>
      <c r="D451" t="s">
        <v>20</v>
      </c>
      <c r="E451" t="s">
        <v>21</v>
      </c>
      <c r="F451">
        <v>64233</v>
      </c>
      <c r="G451">
        <v>44480</v>
      </c>
      <c r="H451">
        <f t="shared" si="21"/>
        <v>19753</v>
      </c>
      <c r="I451" t="str">
        <f t="shared" si="22"/>
        <v>2023</v>
      </c>
      <c r="J451" t="str">
        <f t="shared" si="23"/>
        <v>07</v>
      </c>
    </row>
    <row r="452" spans="1:10" x14ac:dyDescent="0.3">
      <c r="A452">
        <v>1468</v>
      </c>
      <c r="B452">
        <v>44988</v>
      </c>
      <c r="C452" t="s">
        <v>8</v>
      </c>
      <c r="D452" t="s">
        <v>17</v>
      </c>
      <c r="E452" t="s">
        <v>25</v>
      </c>
      <c r="F452">
        <v>10286</v>
      </c>
      <c r="G452">
        <v>6835</v>
      </c>
      <c r="H452">
        <f t="shared" si="21"/>
        <v>3451</v>
      </c>
      <c r="I452" t="str">
        <f t="shared" si="22"/>
        <v>2023</v>
      </c>
      <c r="J452" t="str">
        <f t="shared" si="23"/>
        <v>03</v>
      </c>
    </row>
    <row r="453" spans="1:10" x14ac:dyDescent="0.3">
      <c r="A453">
        <v>1469</v>
      </c>
      <c r="B453">
        <v>45002</v>
      </c>
      <c r="C453" t="s">
        <v>8</v>
      </c>
      <c r="D453" t="s">
        <v>17</v>
      </c>
      <c r="E453" t="s">
        <v>25</v>
      </c>
      <c r="F453">
        <v>56936</v>
      </c>
      <c r="G453">
        <v>42931</v>
      </c>
      <c r="H453">
        <f t="shared" si="21"/>
        <v>14005</v>
      </c>
      <c r="I453" t="str">
        <f t="shared" si="22"/>
        <v>2023</v>
      </c>
      <c r="J453" t="str">
        <f t="shared" si="23"/>
        <v>03</v>
      </c>
    </row>
    <row r="454" spans="1:10" x14ac:dyDescent="0.3">
      <c r="A454">
        <v>1470</v>
      </c>
      <c r="B454">
        <v>45060</v>
      </c>
      <c r="C454" t="s">
        <v>15</v>
      </c>
      <c r="D454" t="s">
        <v>19</v>
      </c>
      <c r="E454" t="s">
        <v>24</v>
      </c>
      <c r="F454">
        <v>64270</v>
      </c>
      <c r="G454">
        <v>49281</v>
      </c>
      <c r="H454">
        <f t="shared" si="21"/>
        <v>14989</v>
      </c>
      <c r="I454" t="str">
        <f t="shared" si="22"/>
        <v>2023</v>
      </c>
      <c r="J454" t="str">
        <f t="shared" si="23"/>
        <v>05</v>
      </c>
    </row>
    <row r="455" spans="1:10" x14ac:dyDescent="0.3">
      <c r="A455">
        <v>1471</v>
      </c>
      <c r="B455">
        <v>44975</v>
      </c>
      <c r="C455" t="s">
        <v>14</v>
      </c>
      <c r="D455" t="s">
        <v>19</v>
      </c>
      <c r="E455" t="s">
        <v>21</v>
      </c>
      <c r="F455">
        <v>20919</v>
      </c>
      <c r="G455">
        <v>12626</v>
      </c>
      <c r="H455">
        <f t="shared" si="21"/>
        <v>8293</v>
      </c>
      <c r="I455" t="str">
        <f t="shared" si="22"/>
        <v>2023</v>
      </c>
      <c r="J455" t="str">
        <f t="shared" si="23"/>
        <v>02</v>
      </c>
    </row>
    <row r="456" spans="1:10" x14ac:dyDescent="0.3">
      <c r="A456">
        <v>1472</v>
      </c>
      <c r="B456">
        <v>45040</v>
      </c>
      <c r="C456" t="s">
        <v>15</v>
      </c>
      <c r="D456" t="s">
        <v>17</v>
      </c>
      <c r="E456" t="s">
        <v>24</v>
      </c>
      <c r="F456">
        <v>53790</v>
      </c>
      <c r="G456">
        <v>43348</v>
      </c>
      <c r="H456">
        <f t="shared" si="21"/>
        <v>10442</v>
      </c>
      <c r="I456" t="str">
        <f t="shared" si="22"/>
        <v>2023</v>
      </c>
      <c r="J456" t="str">
        <f t="shared" si="23"/>
        <v>04</v>
      </c>
    </row>
    <row r="457" spans="1:10" x14ac:dyDescent="0.3">
      <c r="A457">
        <v>1473</v>
      </c>
      <c r="B457">
        <v>44970</v>
      </c>
      <c r="C457" t="s">
        <v>13</v>
      </c>
      <c r="D457" t="s">
        <v>20</v>
      </c>
      <c r="E457" t="s">
        <v>22</v>
      </c>
      <c r="F457">
        <v>7857</v>
      </c>
      <c r="G457">
        <v>7064</v>
      </c>
      <c r="H457">
        <f t="shared" si="21"/>
        <v>793</v>
      </c>
      <c r="I457" t="str">
        <f t="shared" si="22"/>
        <v>2023</v>
      </c>
      <c r="J457" t="str">
        <f t="shared" si="23"/>
        <v>02</v>
      </c>
    </row>
    <row r="458" spans="1:10" x14ac:dyDescent="0.3">
      <c r="A458">
        <v>1474</v>
      </c>
      <c r="B458">
        <v>45257</v>
      </c>
      <c r="C458" t="s">
        <v>14</v>
      </c>
      <c r="D458" t="s">
        <v>17</v>
      </c>
      <c r="E458" t="s">
        <v>22</v>
      </c>
      <c r="F458">
        <v>48456</v>
      </c>
      <c r="G458">
        <v>30854</v>
      </c>
      <c r="H458">
        <f t="shared" si="21"/>
        <v>17602</v>
      </c>
      <c r="I458" t="str">
        <f t="shared" si="22"/>
        <v>2023</v>
      </c>
      <c r="J458" t="str">
        <f t="shared" si="23"/>
        <v>11</v>
      </c>
    </row>
    <row r="459" spans="1:10" x14ac:dyDescent="0.3">
      <c r="A459">
        <v>1475</v>
      </c>
      <c r="B459">
        <v>44952</v>
      </c>
      <c r="C459" t="s">
        <v>15</v>
      </c>
      <c r="D459" t="s">
        <v>18</v>
      </c>
      <c r="E459" t="s">
        <v>24</v>
      </c>
      <c r="F459">
        <v>70028</v>
      </c>
      <c r="G459">
        <v>42636</v>
      </c>
      <c r="H459">
        <f t="shared" si="21"/>
        <v>27392</v>
      </c>
      <c r="I459" t="str">
        <f t="shared" si="22"/>
        <v>2023</v>
      </c>
      <c r="J459" t="str">
        <f t="shared" si="23"/>
        <v>01</v>
      </c>
    </row>
    <row r="460" spans="1:10" x14ac:dyDescent="0.3">
      <c r="A460">
        <v>1476</v>
      </c>
      <c r="B460">
        <v>45015</v>
      </c>
      <c r="C460" t="s">
        <v>10</v>
      </c>
      <c r="D460" t="s">
        <v>17</v>
      </c>
      <c r="E460" t="s">
        <v>21</v>
      </c>
      <c r="F460">
        <v>41042</v>
      </c>
      <c r="G460">
        <v>28070</v>
      </c>
      <c r="H460">
        <f t="shared" si="21"/>
        <v>12972</v>
      </c>
      <c r="I460" t="str">
        <f t="shared" si="22"/>
        <v>2023</v>
      </c>
      <c r="J460" t="str">
        <f t="shared" si="23"/>
        <v>03</v>
      </c>
    </row>
    <row r="461" spans="1:10" x14ac:dyDescent="0.3">
      <c r="A461">
        <v>1477</v>
      </c>
      <c r="B461">
        <v>44944</v>
      </c>
      <c r="C461" t="s">
        <v>13</v>
      </c>
      <c r="D461" t="s">
        <v>17</v>
      </c>
      <c r="E461" t="s">
        <v>25</v>
      </c>
      <c r="F461">
        <v>70390</v>
      </c>
      <c r="G461">
        <v>50934</v>
      </c>
      <c r="H461">
        <f t="shared" si="21"/>
        <v>19456</v>
      </c>
      <c r="I461" t="str">
        <f t="shared" si="22"/>
        <v>2023</v>
      </c>
      <c r="J461" t="str">
        <f t="shared" si="23"/>
        <v>01</v>
      </c>
    </row>
    <row r="462" spans="1:10" x14ac:dyDescent="0.3">
      <c r="A462">
        <v>1478</v>
      </c>
      <c r="B462">
        <v>44958</v>
      </c>
      <c r="C462" t="s">
        <v>8</v>
      </c>
      <c r="D462" t="s">
        <v>20</v>
      </c>
      <c r="E462" t="s">
        <v>24</v>
      </c>
      <c r="F462">
        <v>22987</v>
      </c>
      <c r="G462">
        <v>16683</v>
      </c>
      <c r="H462">
        <f t="shared" si="21"/>
        <v>6304</v>
      </c>
      <c r="I462" t="str">
        <f t="shared" si="22"/>
        <v>2023</v>
      </c>
      <c r="J462" t="str">
        <f t="shared" si="23"/>
        <v>02</v>
      </c>
    </row>
    <row r="463" spans="1:10" x14ac:dyDescent="0.3">
      <c r="A463">
        <v>1479</v>
      </c>
      <c r="B463">
        <v>45335</v>
      </c>
      <c r="C463" t="s">
        <v>11</v>
      </c>
      <c r="D463" t="s">
        <v>17</v>
      </c>
      <c r="E463" t="s">
        <v>23</v>
      </c>
      <c r="F463">
        <v>7559</v>
      </c>
      <c r="G463">
        <v>6779</v>
      </c>
      <c r="H463">
        <f t="shared" si="21"/>
        <v>780</v>
      </c>
      <c r="I463" t="str">
        <f t="shared" si="22"/>
        <v>2024</v>
      </c>
      <c r="J463" t="str">
        <f t="shared" si="23"/>
        <v>02</v>
      </c>
    </row>
    <row r="464" spans="1:10" x14ac:dyDescent="0.3">
      <c r="A464">
        <v>1480</v>
      </c>
      <c r="B464">
        <v>45110</v>
      </c>
      <c r="C464" t="s">
        <v>14</v>
      </c>
      <c r="D464" t="s">
        <v>18</v>
      </c>
      <c r="E464" t="s">
        <v>25</v>
      </c>
      <c r="F464">
        <v>79141</v>
      </c>
      <c r="G464">
        <v>59412</v>
      </c>
      <c r="H464">
        <f t="shared" si="21"/>
        <v>19729</v>
      </c>
      <c r="I464" t="str">
        <f t="shared" si="22"/>
        <v>2023</v>
      </c>
      <c r="J464" t="str">
        <f t="shared" si="23"/>
        <v>07</v>
      </c>
    </row>
    <row r="465" spans="1:10" x14ac:dyDescent="0.3">
      <c r="A465">
        <v>1481</v>
      </c>
      <c r="B465">
        <v>45019</v>
      </c>
      <c r="C465" t="s">
        <v>9</v>
      </c>
      <c r="D465" t="s">
        <v>20</v>
      </c>
      <c r="E465" t="s">
        <v>23</v>
      </c>
      <c r="F465">
        <v>33707</v>
      </c>
      <c r="G465">
        <v>20520</v>
      </c>
      <c r="H465">
        <f t="shared" si="21"/>
        <v>13187</v>
      </c>
      <c r="I465" t="str">
        <f t="shared" si="22"/>
        <v>2023</v>
      </c>
      <c r="J465" t="str">
        <f t="shared" si="23"/>
        <v>04</v>
      </c>
    </row>
    <row r="466" spans="1:10" x14ac:dyDescent="0.3">
      <c r="A466">
        <v>1482</v>
      </c>
      <c r="B466">
        <v>45070</v>
      </c>
      <c r="C466" t="s">
        <v>9</v>
      </c>
      <c r="D466" t="s">
        <v>18</v>
      </c>
      <c r="E466" t="s">
        <v>23</v>
      </c>
      <c r="F466">
        <v>51849</v>
      </c>
      <c r="G466">
        <v>43037</v>
      </c>
      <c r="H466">
        <f t="shared" si="21"/>
        <v>8812</v>
      </c>
      <c r="I466" t="str">
        <f t="shared" si="22"/>
        <v>2023</v>
      </c>
      <c r="J466" t="str">
        <f t="shared" si="23"/>
        <v>05</v>
      </c>
    </row>
    <row r="467" spans="1:10" x14ac:dyDescent="0.3">
      <c r="A467">
        <v>1483</v>
      </c>
      <c r="B467">
        <v>45008</v>
      </c>
      <c r="C467" t="s">
        <v>8</v>
      </c>
      <c r="D467" t="s">
        <v>17</v>
      </c>
      <c r="E467" t="s">
        <v>21</v>
      </c>
      <c r="F467">
        <v>39934</v>
      </c>
      <c r="G467">
        <v>30354</v>
      </c>
      <c r="H467">
        <f t="shared" si="21"/>
        <v>9580</v>
      </c>
      <c r="I467" t="str">
        <f t="shared" si="22"/>
        <v>2023</v>
      </c>
      <c r="J467" t="str">
        <f t="shared" si="23"/>
        <v>03</v>
      </c>
    </row>
    <row r="468" spans="1:10" x14ac:dyDescent="0.3">
      <c r="A468">
        <v>1484</v>
      </c>
      <c r="B468">
        <v>45304</v>
      </c>
      <c r="C468" t="s">
        <v>9</v>
      </c>
      <c r="D468" t="s">
        <v>17</v>
      </c>
      <c r="E468" t="s">
        <v>23</v>
      </c>
      <c r="F468">
        <v>55911</v>
      </c>
      <c r="G468">
        <v>39497</v>
      </c>
      <c r="H468">
        <f t="shared" si="21"/>
        <v>16414</v>
      </c>
      <c r="I468" t="str">
        <f t="shared" si="22"/>
        <v>2024</v>
      </c>
      <c r="J468" t="str">
        <f t="shared" si="23"/>
        <v>01</v>
      </c>
    </row>
    <row r="469" spans="1:10" x14ac:dyDescent="0.3">
      <c r="A469">
        <v>1485</v>
      </c>
      <c r="B469">
        <v>45359</v>
      </c>
      <c r="C469" t="s">
        <v>15</v>
      </c>
      <c r="D469" t="s">
        <v>17</v>
      </c>
      <c r="E469" t="s">
        <v>21</v>
      </c>
      <c r="F469">
        <v>46681</v>
      </c>
      <c r="G469">
        <v>39299</v>
      </c>
      <c r="H469">
        <f t="shared" si="21"/>
        <v>7382</v>
      </c>
      <c r="I469" t="str">
        <f t="shared" si="22"/>
        <v>2024</v>
      </c>
      <c r="J469" t="str">
        <f t="shared" si="23"/>
        <v>03</v>
      </c>
    </row>
    <row r="470" spans="1:10" x14ac:dyDescent="0.3">
      <c r="A470">
        <v>1486</v>
      </c>
      <c r="B470">
        <v>45229</v>
      </c>
      <c r="C470" t="s">
        <v>9</v>
      </c>
      <c r="D470" t="s">
        <v>20</v>
      </c>
      <c r="E470" t="s">
        <v>23</v>
      </c>
      <c r="F470">
        <v>78873</v>
      </c>
      <c r="G470">
        <v>50686</v>
      </c>
      <c r="H470">
        <f t="shared" si="21"/>
        <v>28187</v>
      </c>
      <c r="I470" t="str">
        <f t="shared" si="22"/>
        <v>2023</v>
      </c>
      <c r="J470" t="str">
        <f t="shared" si="23"/>
        <v>10</v>
      </c>
    </row>
    <row r="471" spans="1:10" x14ac:dyDescent="0.3">
      <c r="A471">
        <v>1487</v>
      </c>
      <c r="B471">
        <v>45355</v>
      </c>
      <c r="C471" t="s">
        <v>14</v>
      </c>
      <c r="D471" t="s">
        <v>20</v>
      </c>
      <c r="E471" t="s">
        <v>21</v>
      </c>
      <c r="F471">
        <v>69282</v>
      </c>
      <c r="G471">
        <v>42358</v>
      </c>
      <c r="H471">
        <f t="shared" si="21"/>
        <v>26924</v>
      </c>
      <c r="I471" t="str">
        <f t="shared" si="22"/>
        <v>2024</v>
      </c>
      <c r="J471" t="str">
        <f t="shared" si="23"/>
        <v>03</v>
      </c>
    </row>
    <row r="472" spans="1:10" x14ac:dyDescent="0.3">
      <c r="A472">
        <v>1488</v>
      </c>
      <c r="B472">
        <v>45235</v>
      </c>
      <c r="C472" t="s">
        <v>12</v>
      </c>
      <c r="D472" t="s">
        <v>19</v>
      </c>
      <c r="E472" t="s">
        <v>23</v>
      </c>
      <c r="F472">
        <v>67650</v>
      </c>
      <c r="G472">
        <v>40603</v>
      </c>
      <c r="H472">
        <f t="shared" si="21"/>
        <v>27047</v>
      </c>
      <c r="I472" t="str">
        <f t="shared" si="22"/>
        <v>2023</v>
      </c>
      <c r="J472" t="str">
        <f t="shared" si="23"/>
        <v>11</v>
      </c>
    </row>
    <row r="473" spans="1:10" x14ac:dyDescent="0.3">
      <c r="A473">
        <v>1489</v>
      </c>
      <c r="B473">
        <v>45030</v>
      </c>
      <c r="C473" t="s">
        <v>15</v>
      </c>
      <c r="D473" t="s">
        <v>20</v>
      </c>
      <c r="E473" t="s">
        <v>21</v>
      </c>
      <c r="F473">
        <v>47413</v>
      </c>
      <c r="G473">
        <v>29294</v>
      </c>
      <c r="H473">
        <f t="shared" si="21"/>
        <v>18119</v>
      </c>
      <c r="I473" t="str">
        <f t="shared" si="22"/>
        <v>2023</v>
      </c>
      <c r="J473" t="str">
        <f t="shared" si="23"/>
        <v>04</v>
      </c>
    </row>
    <row r="474" spans="1:10" x14ac:dyDescent="0.3">
      <c r="A474">
        <v>1490</v>
      </c>
      <c r="B474">
        <v>45287</v>
      </c>
      <c r="C474" t="s">
        <v>15</v>
      </c>
      <c r="D474" t="s">
        <v>19</v>
      </c>
      <c r="E474" t="s">
        <v>23</v>
      </c>
      <c r="F474">
        <v>52826</v>
      </c>
      <c r="G474">
        <v>46918</v>
      </c>
      <c r="H474">
        <f t="shared" si="21"/>
        <v>5908</v>
      </c>
      <c r="I474" t="str">
        <f t="shared" si="22"/>
        <v>2023</v>
      </c>
      <c r="J474" t="str">
        <f t="shared" si="23"/>
        <v>12</v>
      </c>
    </row>
    <row r="475" spans="1:10" x14ac:dyDescent="0.3">
      <c r="A475">
        <v>1491</v>
      </c>
      <c r="B475">
        <v>45266</v>
      </c>
      <c r="C475" t="s">
        <v>16</v>
      </c>
      <c r="D475" t="s">
        <v>19</v>
      </c>
      <c r="E475" t="s">
        <v>25</v>
      </c>
      <c r="F475">
        <v>44552</v>
      </c>
      <c r="G475">
        <v>31042</v>
      </c>
      <c r="H475">
        <f t="shared" si="21"/>
        <v>13510</v>
      </c>
      <c r="I475" t="str">
        <f t="shared" si="22"/>
        <v>2023</v>
      </c>
      <c r="J475" t="str">
        <f t="shared" si="23"/>
        <v>12</v>
      </c>
    </row>
    <row r="476" spans="1:10" x14ac:dyDescent="0.3">
      <c r="A476">
        <v>1492</v>
      </c>
      <c r="B476">
        <v>45301</v>
      </c>
      <c r="C476" t="s">
        <v>16</v>
      </c>
      <c r="D476" t="s">
        <v>18</v>
      </c>
      <c r="E476" t="s">
        <v>25</v>
      </c>
      <c r="F476">
        <v>27833</v>
      </c>
      <c r="G476">
        <v>22604</v>
      </c>
      <c r="H476">
        <f t="shared" si="21"/>
        <v>5229</v>
      </c>
      <c r="I476" t="str">
        <f t="shared" si="22"/>
        <v>2024</v>
      </c>
      <c r="J476" t="str">
        <f t="shared" si="23"/>
        <v>01</v>
      </c>
    </row>
    <row r="477" spans="1:10" x14ac:dyDescent="0.3">
      <c r="A477">
        <v>1493</v>
      </c>
      <c r="B477">
        <v>45241</v>
      </c>
      <c r="C477" t="s">
        <v>10</v>
      </c>
      <c r="D477" t="s">
        <v>17</v>
      </c>
      <c r="E477" t="s">
        <v>23</v>
      </c>
      <c r="F477">
        <v>27983</v>
      </c>
      <c r="G477">
        <v>19966</v>
      </c>
      <c r="H477">
        <f t="shared" si="21"/>
        <v>8017</v>
      </c>
      <c r="I477" t="str">
        <f t="shared" si="22"/>
        <v>2023</v>
      </c>
      <c r="J477" t="str">
        <f t="shared" si="23"/>
        <v>11</v>
      </c>
    </row>
    <row r="478" spans="1:10" x14ac:dyDescent="0.3">
      <c r="A478">
        <v>1494</v>
      </c>
      <c r="B478">
        <v>45077</v>
      </c>
      <c r="C478" t="s">
        <v>15</v>
      </c>
      <c r="D478" t="s">
        <v>17</v>
      </c>
      <c r="E478" t="s">
        <v>22</v>
      </c>
      <c r="F478">
        <v>56327</v>
      </c>
      <c r="G478">
        <v>48172</v>
      </c>
      <c r="H478">
        <f t="shared" si="21"/>
        <v>8155</v>
      </c>
      <c r="I478" t="str">
        <f t="shared" si="22"/>
        <v>2023</v>
      </c>
      <c r="J478" t="str">
        <f t="shared" si="23"/>
        <v>05</v>
      </c>
    </row>
    <row r="479" spans="1:10" x14ac:dyDescent="0.3">
      <c r="A479">
        <v>1495</v>
      </c>
      <c r="B479">
        <v>45217</v>
      </c>
      <c r="C479" t="s">
        <v>9</v>
      </c>
      <c r="D479" t="s">
        <v>17</v>
      </c>
      <c r="E479" t="s">
        <v>23</v>
      </c>
      <c r="F479">
        <v>46709</v>
      </c>
      <c r="G479">
        <v>40931</v>
      </c>
      <c r="H479">
        <f t="shared" si="21"/>
        <v>5778</v>
      </c>
      <c r="I479" t="str">
        <f t="shared" si="22"/>
        <v>2023</v>
      </c>
      <c r="J479" t="str">
        <f t="shared" si="23"/>
        <v>10</v>
      </c>
    </row>
    <row r="480" spans="1:10" x14ac:dyDescent="0.3">
      <c r="A480">
        <v>1496</v>
      </c>
      <c r="B480">
        <v>45040</v>
      </c>
      <c r="C480" t="s">
        <v>13</v>
      </c>
      <c r="D480" t="s">
        <v>19</v>
      </c>
      <c r="E480" t="s">
        <v>24</v>
      </c>
      <c r="F480">
        <v>23434</v>
      </c>
      <c r="G480">
        <v>16388</v>
      </c>
      <c r="H480">
        <f t="shared" si="21"/>
        <v>7046</v>
      </c>
      <c r="I480" t="str">
        <f t="shared" si="22"/>
        <v>2023</v>
      </c>
      <c r="J480" t="str">
        <f t="shared" si="23"/>
        <v>04</v>
      </c>
    </row>
    <row r="481" spans="1:10" x14ac:dyDescent="0.3">
      <c r="A481">
        <v>1497</v>
      </c>
      <c r="B481">
        <v>45104</v>
      </c>
      <c r="C481" t="s">
        <v>10</v>
      </c>
      <c r="D481" t="s">
        <v>17</v>
      </c>
      <c r="E481" t="s">
        <v>22</v>
      </c>
      <c r="F481">
        <v>49007</v>
      </c>
      <c r="G481">
        <v>35970</v>
      </c>
      <c r="H481">
        <f t="shared" si="21"/>
        <v>13037</v>
      </c>
      <c r="I481" t="str">
        <f t="shared" si="22"/>
        <v>2023</v>
      </c>
      <c r="J481" t="str">
        <f t="shared" si="23"/>
        <v>06</v>
      </c>
    </row>
    <row r="482" spans="1:10" x14ac:dyDescent="0.3">
      <c r="A482">
        <v>1498</v>
      </c>
      <c r="B482">
        <v>45054</v>
      </c>
      <c r="C482" t="s">
        <v>8</v>
      </c>
      <c r="D482" t="s">
        <v>20</v>
      </c>
      <c r="E482" t="s">
        <v>25</v>
      </c>
      <c r="F482">
        <v>19160</v>
      </c>
      <c r="G482">
        <v>15636</v>
      </c>
      <c r="H482">
        <f t="shared" si="21"/>
        <v>3524</v>
      </c>
      <c r="I482" t="str">
        <f t="shared" si="22"/>
        <v>2023</v>
      </c>
      <c r="J482" t="str">
        <f t="shared" si="23"/>
        <v>05</v>
      </c>
    </row>
    <row r="483" spans="1:10" x14ac:dyDescent="0.3">
      <c r="A483">
        <v>1500</v>
      </c>
      <c r="B483">
        <v>45206</v>
      </c>
      <c r="C483" t="s">
        <v>16</v>
      </c>
      <c r="D483" t="s">
        <v>19</v>
      </c>
      <c r="E483" t="s">
        <v>24</v>
      </c>
      <c r="F483">
        <v>34567</v>
      </c>
      <c r="G483">
        <v>22426</v>
      </c>
      <c r="H483">
        <f t="shared" si="21"/>
        <v>12141</v>
      </c>
      <c r="I483" t="str">
        <f t="shared" si="22"/>
        <v>2023</v>
      </c>
      <c r="J483" t="str">
        <f t="shared" si="23"/>
        <v>10</v>
      </c>
    </row>
    <row r="484" spans="1:10" x14ac:dyDescent="0.3">
      <c r="B484"/>
    </row>
    <row r="485" spans="1:10" x14ac:dyDescent="0.3">
      <c r="B485"/>
    </row>
    <row r="486" spans="1:10" x14ac:dyDescent="0.3">
      <c r="B486"/>
    </row>
    <row r="487" spans="1:10" x14ac:dyDescent="0.3">
      <c r="B487"/>
    </row>
    <row r="488" spans="1:10" x14ac:dyDescent="0.3">
      <c r="B488"/>
    </row>
    <row r="489" spans="1:10" x14ac:dyDescent="0.3">
      <c r="B489"/>
    </row>
    <row r="490" spans="1:10" x14ac:dyDescent="0.3">
      <c r="B490"/>
    </row>
    <row r="491" spans="1:10" x14ac:dyDescent="0.3">
      <c r="B491"/>
    </row>
    <row r="492" spans="1:10" x14ac:dyDescent="0.3">
      <c r="B492"/>
    </row>
    <row r="493" spans="1:10" x14ac:dyDescent="0.3">
      <c r="B493"/>
    </row>
    <row r="494" spans="1:10" x14ac:dyDescent="0.3">
      <c r="B494"/>
    </row>
    <row r="495" spans="1:10" x14ac:dyDescent="0.3">
      <c r="B495"/>
    </row>
    <row r="496" spans="1:10"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Uncleaned_Data</vt:lpstr>
      <vt:lpstr>Sales_by_region</vt:lpstr>
      <vt:lpstr>Dashboard</vt:lpstr>
      <vt:lpstr>Sales_by_product</vt:lpstr>
      <vt:lpstr>Monthly_sales</vt:lpstr>
      <vt:lpstr>Profit_by_region</vt:lpstr>
      <vt:lpstr>Profit_by_year</vt:lpstr>
      <vt:lpstr>Clean_Data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Sweta Nath</dc:creator>
  <cp:lastModifiedBy>Sweta Nath</cp:lastModifiedBy>
  <dcterms:created xsi:type="dcterms:W3CDTF">2026-01-02T14:33:13Z</dcterms:created>
  <dcterms:modified xsi:type="dcterms:W3CDTF">2026-01-13T08:53:28Z</dcterms:modified>
</cp:coreProperties>
</file>